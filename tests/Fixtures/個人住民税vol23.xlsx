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d.docs.live.net/4245ae31b7bca767/Desktop/ふるさと納税クラウド/"/>
    </mc:Choice>
  </mc:AlternateContent>
  <xr:revisionPtr revIDLastSave="0" documentId="8_{823BF139-23A2-4907-AC15-57EEEB3CEE15}" xr6:coauthVersionLast="47" xr6:coauthVersionMax="47" xr10:uidLastSave="{00000000-0000-0000-0000-000000000000}"/>
  <bookViews>
    <workbookView xWindow="-108" yWindow="-108" windowWidth="30936" windowHeight="16776" activeTab="1" xr2:uid="{00000000-000D-0000-FFFF-FFFF00000000}"/>
  </bookViews>
  <sheets>
    <sheet name="インプット表" sheetId="1" r:id="rId1"/>
    <sheet name="計算結果" sheetId="2" r:id="rId2"/>
    <sheet name="簡便版" sheetId="6" r:id="rId3"/>
    <sheet name="マスター" sheetId="3" r:id="rId4"/>
    <sheet name="ふるさと上限" sheetId="4" r:id="rId5"/>
    <sheet name="寄付控除計算概要" sheetId="5" r:id="rId6"/>
  </sheets>
  <definedNames>
    <definedName name="_xlnm._FilterDatabase" localSheetId="1" hidden="1">計算結果!$C$12:$J$12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9" i="2" l="1" a="1"/>
  <c r="AB19" i="2" s="1"/>
  <c r="AA19" i="2" a="1"/>
  <c r="AA19" i="2" s="1"/>
  <c r="P19" i="2" a="1"/>
  <c r="P19" i="2" s="1"/>
  <c r="Q19" i="2" a="1"/>
  <c r="Q19" i="2" s="1"/>
  <c r="O19" i="2" a="1"/>
  <c r="O19" i="2" s="1"/>
  <c r="O20" i="2" a="1"/>
  <c r="O20" i="2" s="1"/>
  <c r="AA18" i="2"/>
  <c r="O18" i="2"/>
  <c r="Q13" i="2"/>
  <c r="Q12" i="2"/>
  <c r="P13" i="2"/>
  <c r="P12" i="2"/>
  <c r="O12" i="2"/>
  <c r="O13" i="2"/>
  <c r="O15" i="2"/>
  <c r="AA4" i="3"/>
  <c r="AA5" i="3"/>
  <c r="AA6" i="3"/>
  <c r="AA7" i="3"/>
  <c r="AA8" i="3"/>
  <c r="O5" i="6"/>
  <c r="AB15" i="2" l="1"/>
  <c r="AB12" i="2"/>
  <c r="AB14" i="2"/>
  <c r="F5" i="6"/>
  <c r="J30" i="1" l="1"/>
  <c r="P5" i="6"/>
  <c r="G5" i="6"/>
  <c r="AB51" i="2"/>
  <c r="Q37" i="2"/>
  <c r="Q68" i="2" l="1"/>
  <c r="P64" i="2"/>
  <c r="O68" i="2"/>
  <c r="O64" i="2"/>
  <c r="V32" i="2"/>
  <c r="X32" i="2"/>
  <c r="W32" i="2"/>
  <c r="S2" i="5"/>
  <c r="U2" i="5" s="1"/>
  <c r="S3" i="5"/>
  <c r="U3" i="5" s="1"/>
  <c r="S4" i="5"/>
  <c r="U4" i="5"/>
  <c r="S5" i="5"/>
  <c r="U5" i="5" s="1"/>
  <c r="S6" i="5"/>
  <c r="U6" i="5"/>
  <c r="S7" i="5"/>
  <c r="U7" i="5"/>
  <c r="S8" i="5"/>
  <c r="U8" i="5"/>
  <c r="S11" i="5"/>
  <c r="U11" i="5" s="1"/>
  <c r="S19" i="5"/>
  <c r="U19" i="5"/>
  <c r="S20" i="5"/>
  <c r="U20" i="5"/>
  <c r="S21" i="5"/>
  <c r="U21" i="5"/>
  <c r="S22" i="5"/>
  <c r="U22" i="5"/>
  <c r="S23" i="5"/>
  <c r="U23" i="5"/>
  <c r="S24" i="5"/>
  <c r="U24" i="5"/>
  <c r="V9" i="2"/>
  <c r="J31" i="1"/>
  <c r="AA51" i="2"/>
  <c r="U18" i="3"/>
  <c r="V18" i="3" s="1"/>
  <c r="U17" i="3"/>
  <c r="V17" i="3" s="1"/>
  <c r="U16" i="3"/>
  <c r="V16" i="3" s="1"/>
  <c r="U15" i="3"/>
  <c r="V15" i="3" s="1"/>
  <c r="U14" i="3"/>
  <c r="V14" i="3" s="1"/>
  <c r="U11" i="3"/>
  <c r="V11" i="3"/>
  <c r="V5" i="3"/>
  <c r="V6" i="3"/>
  <c r="V7" i="3"/>
  <c r="V8" i="3"/>
  <c r="V9" i="3"/>
  <c r="V10" i="3"/>
  <c r="V4" i="3"/>
  <c r="U5" i="3"/>
  <c r="U6" i="3"/>
  <c r="U7" i="3"/>
  <c r="U8" i="3"/>
  <c r="U9" i="3"/>
  <c r="U10" i="3"/>
  <c r="U4" i="3"/>
  <c r="V33" i="2" l="1" a="1"/>
  <c r="V33" i="2" s="1"/>
  <c r="V34" i="2" a="1"/>
  <c r="V34" i="2" s="1"/>
  <c r="V8" i="2"/>
  <c r="AB17" i="2" a="1"/>
  <c r="AB17" i="2" s="1"/>
  <c r="K30" i="1"/>
  <c r="K31" i="1"/>
  <c r="P68" i="2"/>
  <c r="Q64" i="2"/>
  <c r="O14" i="2"/>
  <c r="O9" i="2"/>
  <c r="O8" i="2"/>
  <c r="X22" i="2" l="1"/>
  <c r="X37" i="2" s="1"/>
  <c r="X21" i="2"/>
  <c r="X36" i="2" s="1"/>
  <c r="Q34" i="2"/>
  <c r="Q47" i="2"/>
  <c r="Q55" i="2" s="1"/>
  <c r="P37" i="2"/>
  <c r="P47" i="2" s="1"/>
  <c r="P34" i="2"/>
  <c r="O23" i="2"/>
  <c r="AA22" i="2" s="1"/>
  <c r="O22" i="2"/>
  <c r="AA21" i="2" s="1"/>
  <c r="C55" i="2"/>
  <c r="C54" i="2"/>
  <c r="C49" i="2"/>
  <c r="C50" i="2"/>
  <c r="C51" i="2"/>
  <c r="C52" i="2"/>
  <c r="C48" i="2"/>
  <c r="C44" i="2"/>
  <c r="E44" i="2" s="1"/>
  <c r="C45" i="2"/>
  <c r="E45" i="2" s="1"/>
  <c r="G45" i="2" s="1"/>
  <c r="C18" i="2"/>
  <c r="E18" i="2" s="1"/>
  <c r="G18" i="2" s="1"/>
  <c r="C40" i="2"/>
  <c r="C13" i="2"/>
  <c r="C37" i="2"/>
  <c r="E37" i="2" s="1"/>
  <c r="G37" i="2" s="1"/>
  <c r="C36" i="2"/>
  <c r="C35" i="2"/>
  <c r="C28" i="2"/>
  <c r="C27" i="2"/>
  <c r="C22" i="2"/>
  <c r="C23" i="2"/>
  <c r="C24" i="2"/>
  <c r="C25" i="2"/>
  <c r="C21" i="2"/>
  <c r="C10" i="2"/>
  <c r="E10" i="2" s="1"/>
  <c r="G10" i="2" s="1"/>
  <c r="C17" i="2"/>
  <c r="E17" i="2" s="1"/>
  <c r="C9" i="2"/>
  <c r="C8" i="2"/>
  <c r="Q23" i="2"/>
  <c r="Q22" i="2"/>
  <c r="Q8" i="2"/>
  <c r="Q9" i="2"/>
  <c r="Q10" i="2"/>
  <c r="Q11" i="2"/>
  <c r="Q14" i="2"/>
  <c r="Q15" i="2"/>
  <c r="Q18" i="2"/>
  <c r="AA37" i="2"/>
  <c r="AA15" i="2"/>
  <c r="AA34" i="2" s="1"/>
  <c r="AA14" i="2"/>
  <c r="AA33" i="2" s="1"/>
  <c r="AB18" i="2"/>
  <c r="P23" i="2"/>
  <c r="AB22" i="2" s="1"/>
  <c r="P22" i="2"/>
  <c r="AB21" i="2" s="1"/>
  <c r="P18" i="2"/>
  <c r="P15" i="2"/>
  <c r="P14" i="2"/>
  <c r="P8" i="2"/>
  <c r="AB8" i="2" s="1"/>
  <c r="AA8" i="2"/>
  <c r="A9" i="3"/>
  <c r="A8" i="3"/>
  <c r="A7" i="3"/>
  <c r="A6" i="3"/>
  <c r="A5" i="3"/>
  <c r="A4" i="3"/>
  <c r="P11" i="2"/>
  <c r="AB11" i="2" s="1"/>
  <c r="O11" i="2"/>
  <c r="AA11" i="2" s="1"/>
  <c r="P10" i="2"/>
  <c r="AB10" i="2" s="1"/>
  <c r="O10" i="2"/>
  <c r="AA10" i="2" s="1"/>
  <c r="P9" i="2"/>
  <c r="AB9" i="2" s="1"/>
  <c r="AA9" i="2"/>
  <c r="O37" i="2"/>
  <c r="O47" i="2" s="1"/>
  <c r="O55" i="2" s="1"/>
  <c r="O34" i="2"/>
  <c r="W9" i="2"/>
  <c r="X38" i="2" l="1"/>
  <c r="AB33" i="2"/>
  <c r="AB34" i="2"/>
  <c r="AB37" i="2"/>
  <c r="P55" i="2"/>
  <c r="E36" i="2"/>
  <c r="E51" i="2"/>
  <c r="E49" i="2"/>
  <c r="E55" i="2"/>
  <c r="Q36" i="2" s="1"/>
  <c r="E35" i="2"/>
  <c r="G36" i="2" s="1"/>
  <c r="E48" i="2"/>
  <c r="E54" i="2"/>
  <c r="AB31" i="2"/>
  <c r="E22" i="2"/>
  <c r="E52" i="2"/>
  <c r="E50" i="2"/>
  <c r="E24" i="2"/>
  <c r="E27" i="2"/>
  <c r="O35" i="2" s="1"/>
  <c r="AA46" i="2" s="1"/>
  <c r="E28" i="2"/>
  <c r="O36" i="2" s="1"/>
  <c r="AA45" i="2" s="1"/>
  <c r="E23" i="2"/>
  <c r="E25" i="2"/>
  <c r="E21" i="2"/>
  <c r="E8" i="2"/>
  <c r="E9" i="2"/>
  <c r="AA13" i="2"/>
  <c r="AA32" i="2" s="1"/>
  <c r="AA12" i="2"/>
  <c r="AA31" i="2" s="1"/>
  <c r="AA17" i="2" a="1"/>
  <c r="AA17" i="2" s="1"/>
  <c r="AB13" i="2"/>
  <c r="W8" i="2"/>
  <c r="P35" i="2" l="1"/>
  <c r="P45" i="2" s="1"/>
  <c r="P53" i="2" s="1"/>
  <c r="Q35" i="2"/>
  <c r="Q45" i="2" s="1"/>
  <c r="Q53" i="2" s="1"/>
  <c r="G49" i="2"/>
  <c r="AB32" i="2"/>
  <c r="AB46" i="2"/>
  <c r="P36" i="2"/>
  <c r="AB45" i="2" s="1"/>
  <c r="Q46" i="2"/>
  <c r="Q54" i="2" s="1"/>
  <c r="G50" i="2"/>
  <c r="G35" i="2"/>
  <c r="I36" i="2" s="1"/>
  <c r="C42" i="2" s="1"/>
  <c r="O46" i="2"/>
  <c r="O54" i="2" s="1"/>
  <c r="I37" i="2"/>
  <c r="C43" i="2" s="1"/>
  <c r="O45" i="2"/>
  <c r="O53" i="2" s="1"/>
  <c r="G51" i="2"/>
  <c r="G52" i="2"/>
  <c r="G48" i="2"/>
  <c r="G21" i="2"/>
  <c r="G25" i="2"/>
  <c r="O33" i="2" s="1"/>
  <c r="G24" i="2"/>
  <c r="O32" i="2" s="1"/>
  <c r="G23" i="2"/>
  <c r="G22" i="2"/>
  <c r="O30" i="2" s="1"/>
  <c r="G8" i="2"/>
  <c r="G9" i="2"/>
  <c r="I35" i="2" l="1"/>
  <c r="C41" i="2" s="1"/>
  <c r="P31" i="2"/>
  <c r="AB48" i="2" s="1"/>
  <c r="P52" i="2"/>
  <c r="Q52" i="2"/>
  <c r="Q31" i="2"/>
  <c r="Q29" i="2"/>
  <c r="P29" i="2"/>
  <c r="AB47" i="2" s="1"/>
  <c r="Q51" i="2"/>
  <c r="P51" i="2"/>
  <c r="P30" i="2"/>
  <c r="Q30" i="2"/>
  <c r="P33" i="2"/>
  <c r="Q33" i="2"/>
  <c r="P46" i="2"/>
  <c r="P54" i="2" s="1"/>
  <c r="P32" i="2"/>
  <c r="Q32" i="2"/>
  <c r="O31" i="2"/>
  <c r="AA48" i="2" s="1"/>
  <c r="O52" i="2"/>
  <c r="O29" i="2"/>
  <c r="AA47" i="2" s="1"/>
  <c r="O51" i="2"/>
  <c r="O43" i="2"/>
  <c r="E41" i="2"/>
  <c r="E43" i="2"/>
  <c r="E42" i="2"/>
  <c r="E40" i="2"/>
  <c r="I10" i="2"/>
  <c r="C16" i="2" s="1"/>
  <c r="I8" i="2"/>
  <c r="C14" i="2" s="1"/>
  <c r="I9" i="2"/>
  <c r="C15" i="2" s="1"/>
  <c r="E8" i="6" l="1"/>
  <c r="E11" i="6" s="1"/>
  <c r="N8" i="6"/>
  <c r="E9" i="6"/>
  <c r="E12" i="6" s="1"/>
  <c r="N9" i="6"/>
  <c r="AB55" i="2"/>
  <c r="E18" i="6"/>
  <c r="O44" i="2"/>
  <c r="AA55" i="2"/>
  <c r="G42" i="2"/>
  <c r="G43" i="2"/>
  <c r="I43" i="2" s="1"/>
  <c r="J43" i="2" s="1"/>
  <c r="P43" i="2"/>
  <c r="Q44" i="2"/>
  <c r="Q43" i="2"/>
  <c r="P44" i="2"/>
  <c r="G41" i="2"/>
  <c r="G40" i="2"/>
  <c r="G44" i="2"/>
  <c r="E14" i="2"/>
  <c r="E13" i="2"/>
  <c r="E16" i="2"/>
  <c r="E15" i="2"/>
  <c r="F9" i="6" l="1"/>
  <c r="F12" i="6" s="1"/>
  <c r="O9" i="6"/>
  <c r="O12" i="6" s="1"/>
  <c r="N18" i="6"/>
  <c r="N12" i="6"/>
  <c r="E17" i="6"/>
  <c r="E20" i="6" s="1"/>
  <c r="F8" i="6"/>
  <c r="F11" i="6" s="1"/>
  <c r="G11" i="6" s="1"/>
  <c r="N17" i="6"/>
  <c r="O8" i="6"/>
  <c r="O11" i="6" s="1"/>
  <c r="N11" i="6"/>
  <c r="P8" i="6"/>
  <c r="G9" i="6"/>
  <c r="F18" i="6"/>
  <c r="F21" i="6" s="1"/>
  <c r="E21" i="6"/>
  <c r="G18" i="6"/>
  <c r="G12" i="6"/>
  <c r="I42" i="2"/>
  <c r="J42" i="2" s="1"/>
  <c r="I44" i="2"/>
  <c r="J44" i="2" s="1"/>
  <c r="I41" i="2"/>
  <c r="J41" i="2" s="1"/>
  <c r="I40" i="2"/>
  <c r="J40" i="2" s="1"/>
  <c r="I45" i="2"/>
  <c r="J45" i="2" s="1"/>
  <c r="G13" i="2"/>
  <c r="G16" i="2"/>
  <c r="I16" i="2" s="1"/>
  <c r="J16" i="2" s="1"/>
  <c r="G14" i="2"/>
  <c r="G17" i="2"/>
  <c r="G15" i="2"/>
  <c r="F17" i="6" l="1"/>
  <c r="F20" i="6" s="1"/>
  <c r="O17" i="6"/>
  <c r="O20" i="6" s="1"/>
  <c r="N20" i="6"/>
  <c r="G8" i="6"/>
  <c r="P9" i="6"/>
  <c r="O18" i="6"/>
  <c r="O21" i="6" s="1"/>
  <c r="N21" i="6"/>
  <c r="P21" i="6" s="1"/>
  <c r="P18" i="6"/>
  <c r="G21" i="6"/>
  <c r="G17" i="6"/>
  <c r="G20" i="6"/>
  <c r="Q6" i="2"/>
  <c r="Q20" i="2" s="1" a="1"/>
  <c r="Q20" i="2" s="1"/>
  <c r="Q39" i="2"/>
  <c r="P39" i="2"/>
  <c r="AB44" i="2" s="1"/>
  <c r="AB53" i="2" s="1"/>
  <c r="P38" i="2"/>
  <c r="AB43" i="2" s="1"/>
  <c r="AB52" i="2" s="1"/>
  <c r="Q38" i="2"/>
  <c r="I17" i="2"/>
  <c r="J17" i="2" s="1"/>
  <c r="O38" i="2" s="1"/>
  <c r="AA43" i="2" s="1"/>
  <c r="AA52" i="2" s="1"/>
  <c r="P6" i="2"/>
  <c r="J46" i="2"/>
  <c r="I14" i="2"/>
  <c r="J14" i="2" s="1"/>
  <c r="I15" i="2"/>
  <c r="J15" i="2" s="1"/>
  <c r="I13" i="2"/>
  <c r="J13" i="2" s="1"/>
  <c r="I18" i="2"/>
  <c r="J18" i="2" s="1"/>
  <c r="O39" i="2" s="1"/>
  <c r="AA44" i="2" s="1"/>
  <c r="AA53" i="2" s="1"/>
  <c r="P20" i="2" l="1" a="1"/>
  <c r="P20" i="2" s="1"/>
  <c r="N6" i="6"/>
  <c r="P24" i="2"/>
  <c r="O6" i="6"/>
  <c r="P6" i="6" s="1"/>
  <c r="P17" i="6"/>
  <c r="P20" i="6"/>
  <c r="E6" i="6"/>
  <c r="F6" i="6" s="1"/>
  <c r="G6" i="6" s="1"/>
  <c r="O6" i="2"/>
  <c r="AB54" i="2"/>
  <c r="AB6" i="2"/>
  <c r="N15" i="6" s="1"/>
  <c r="P40" i="2"/>
  <c r="AA6" i="2"/>
  <c r="AA54" i="2"/>
  <c r="AB16" i="2" a="1"/>
  <c r="AB16" i="2" s="1"/>
  <c r="P17" i="2" a="1"/>
  <c r="P17" i="2" s="1"/>
  <c r="AB36" i="2" s="1"/>
  <c r="Q17" i="2" a="1"/>
  <c r="Q17" i="2" s="1"/>
  <c r="Q40" i="2"/>
  <c r="Q16" i="2" a="1"/>
  <c r="Q16" i="2" s="1"/>
  <c r="P16" i="2" a="1"/>
  <c r="P16" i="2" s="1"/>
  <c r="J19" i="2"/>
  <c r="O17" i="2" l="1" a="1"/>
  <c r="O17" i="2" s="1"/>
  <c r="O16" i="2" a="1"/>
  <c r="O16" i="2" s="1"/>
  <c r="V21" i="2"/>
  <c r="AA20" i="2" a="1"/>
  <c r="AA20" i="2" s="1"/>
  <c r="O15" i="6"/>
  <c r="P15" i="6" s="1"/>
  <c r="AB38" i="2"/>
  <c r="E15" i="6"/>
  <c r="F15" i="6" s="1"/>
  <c r="G15" i="6" s="1"/>
  <c r="AB20" i="2" a="1"/>
  <c r="AB20" i="2" s="1"/>
  <c r="AB24" i="2" s="1"/>
  <c r="B13" i="4"/>
  <c r="B12" i="4"/>
  <c r="V22" i="2"/>
  <c r="Q21" i="2"/>
  <c r="Q25" i="2" s="1"/>
  <c r="O7" i="6" s="1"/>
  <c r="P21" i="2"/>
  <c r="P25" i="2" s="1"/>
  <c r="P49" i="2" s="1"/>
  <c r="P57" i="2" s="1" a="1"/>
  <c r="P57" i="2" s="1"/>
  <c r="AB35" i="2"/>
  <c r="AB39" i="2" s="1"/>
  <c r="AA36" i="2"/>
  <c r="O24" i="2"/>
  <c r="O40" i="2"/>
  <c r="AA16" i="2" a="1"/>
  <c r="AA16" i="2" s="1"/>
  <c r="E7" i="6" l="1"/>
  <c r="F7" i="6" s="1"/>
  <c r="G7" i="6" s="1"/>
  <c r="N7" i="6"/>
  <c r="F16" i="6"/>
  <c r="O16" i="6"/>
  <c r="O19" i="6" s="1"/>
  <c r="O22" i="6" s="1"/>
  <c r="N16" i="6"/>
  <c r="I16" i="6"/>
  <c r="R16" i="6"/>
  <c r="X7" i="2"/>
  <c r="X12" i="2" s="1"/>
  <c r="E16" i="6"/>
  <c r="G16" i="6" s="1"/>
  <c r="W7" i="2"/>
  <c r="B4" i="4" s="1" a="1"/>
  <c r="B4" i="4" s="1"/>
  <c r="Q41" i="2"/>
  <c r="Q42" i="2" s="1"/>
  <c r="F19" i="6"/>
  <c r="F22" i="6" s="1"/>
  <c r="Q49" i="2"/>
  <c r="Q57" i="2" s="1" a="1"/>
  <c r="Q57" i="2" s="1"/>
  <c r="P41" i="2"/>
  <c r="P42" i="2" s="1"/>
  <c r="P48" i="2"/>
  <c r="P56" i="2" s="1" a="1"/>
  <c r="P56" i="2" s="1"/>
  <c r="Q48" i="2"/>
  <c r="Q56" i="2" s="1" a="1"/>
  <c r="Q56" i="2" s="1"/>
  <c r="AA38" i="2"/>
  <c r="AA24" i="2"/>
  <c r="V7" i="2" s="1"/>
  <c r="AA35" i="2"/>
  <c r="AA39" i="2" s="1"/>
  <c r="O21" i="2"/>
  <c r="O25" i="2" s="1"/>
  <c r="O49" i="2" s="1"/>
  <c r="O57" i="2" s="1" a="1"/>
  <c r="O57" i="2" s="1"/>
  <c r="AB42" i="2" l="1"/>
  <c r="AB49" i="2" s="1"/>
  <c r="N19" i="6"/>
  <c r="P16" i="6"/>
  <c r="P7" i="6"/>
  <c r="E19" i="6"/>
  <c r="E22" i="6" s="1"/>
  <c r="X15" i="2"/>
  <c r="X11" i="2"/>
  <c r="W15" i="2"/>
  <c r="B2" i="4"/>
  <c r="W11" i="2"/>
  <c r="W12" i="2"/>
  <c r="W14" i="2"/>
  <c r="X14" i="2"/>
  <c r="Q50" i="2" a="1"/>
  <c r="Q50" i="2" s="1"/>
  <c r="Q59" i="2" s="1"/>
  <c r="W22" i="2"/>
  <c r="W21" i="2"/>
  <c r="V14" i="2"/>
  <c r="V11" i="2"/>
  <c r="V12" i="2"/>
  <c r="P50" i="2" a="1"/>
  <c r="P50" i="2" s="1"/>
  <c r="V15" i="2"/>
  <c r="O41" i="2"/>
  <c r="O48" i="2"/>
  <c r="O56" i="2" s="1" a="1"/>
  <c r="O56" i="2" s="1"/>
  <c r="O23" i="6" l="1"/>
  <c r="O24" i="6" s="1"/>
  <c r="AB50" i="2"/>
  <c r="AB56" i="2" s="1"/>
  <c r="W24" i="2" s="1"/>
  <c r="P59" i="2"/>
  <c r="P60" i="2" s="1"/>
  <c r="O10" i="6"/>
  <c r="O13" i="6" s="1"/>
  <c r="W34" i="2" a="1"/>
  <c r="W34" i="2" s="1"/>
  <c r="W33" i="2" a="1"/>
  <c r="W33" i="2" s="1"/>
  <c r="E10" i="6"/>
  <c r="N10" i="6"/>
  <c r="N13" i="6" s="1"/>
  <c r="G19" i="6"/>
  <c r="E23" i="6"/>
  <c r="E24" i="6" s="1"/>
  <c r="N23" i="6"/>
  <c r="P23" i="6" s="1"/>
  <c r="N22" i="6"/>
  <c r="P19" i="6"/>
  <c r="O25" i="6"/>
  <c r="P25" i="6" s="1"/>
  <c r="F10" i="6"/>
  <c r="F13" i="6" s="1"/>
  <c r="F23" i="6"/>
  <c r="F24" i="6" s="1"/>
  <c r="W18" i="2"/>
  <c r="F25" i="6"/>
  <c r="Q60" i="2"/>
  <c r="G22" i="6"/>
  <c r="O42" i="2"/>
  <c r="AA42" i="2" s="1"/>
  <c r="AA49" i="2" s="1"/>
  <c r="V18" i="2"/>
  <c r="V28" i="2" s="1"/>
  <c r="V17" i="2"/>
  <c r="X17" i="2"/>
  <c r="X18" i="2"/>
  <c r="W25" i="2" l="1"/>
  <c r="AA50" i="2"/>
  <c r="AA56" i="2" s="1"/>
  <c r="Q26" i="3" a="1"/>
  <c r="Q26" i="3" s="1"/>
  <c r="P13" i="6"/>
  <c r="N30" i="6"/>
  <c r="G24" i="6"/>
  <c r="P22" i="6"/>
  <c r="N24" i="6"/>
  <c r="P24" i="6" s="1"/>
  <c r="G23" i="6"/>
  <c r="Q61" i="2"/>
  <c r="Q62" i="2" s="1"/>
  <c r="Q63" i="2" s="1"/>
  <c r="Q65" i="2" s="1"/>
  <c r="P61" i="2"/>
  <c r="P62" i="2" s="1"/>
  <c r="G25" i="6"/>
  <c r="E13" i="6"/>
  <c r="E29" i="6" s="1"/>
  <c r="G10" i="6"/>
  <c r="O50" i="2" a="1"/>
  <c r="O50" i="2" s="1"/>
  <c r="V27" i="2"/>
  <c r="V19" i="2"/>
  <c r="W17" i="2"/>
  <c r="X19" i="2"/>
  <c r="O59" i="2" l="1"/>
  <c r="O61" i="2" s="1"/>
  <c r="O62" i="2" s="1"/>
  <c r="V25" i="2"/>
  <c r="V31" i="2" s="1"/>
  <c r="V37" i="2" s="1"/>
  <c r="V24" i="2"/>
  <c r="V30" i="2" s="1"/>
  <c r="V36" i="2" s="1"/>
  <c r="Q66" i="2"/>
  <c r="Q67" i="2" s="1"/>
  <c r="O27" i="6"/>
  <c r="P27" i="6" s="1"/>
  <c r="P63" i="2"/>
  <c r="P65" i="2" s="1"/>
  <c r="P66" i="2" s="1"/>
  <c r="P67" i="2" s="1"/>
  <c r="G13" i="6"/>
  <c r="B9" i="4"/>
  <c r="B17" i="4" s="1"/>
  <c r="B8" i="4"/>
  <c r="B16" i="4" s="1"/>
  <c r="B3" i="4"/>
  <c r="W28" i="2"/>
  <c r="W31" i="2" s="1"/>
  <c r="W37" i="2" s="1"/>
  <c r="W19" i="2"/>
  <c r="W27" i="2"/>
  <c r="W30" i="2" s="1"/>
  <c r="V38" i="2" l="1"/>
  <c r="O60" i="2"/>
  <c r="O63" i="2" s="1"/>
  <c r="O65" i="2" s="1"/>
  <c r="O26" i="6"/>
  <c r="P26" i="6" s="1"/>
  <c r="W36" i="2"/>
  <c r="W38" i="2" s="1"/>
  <c r="AE7" i="2" s="1"/>
  <c r="AE6" i="2"/>
  <c r="F26" i="6"/>
  <c r="Q69" i="2"/>
  <c r="O28" i="6" l="1"/>
  <c r="P28" i="6" s="1"/>
  <c r="P69" i="2"/>
  <c r="G26" i="6"/>
  <c r="F27" i="6"/>
  <c r="O66" i="2"/>
  <c r="AE8" i="2"/>
  <c r="O67" i="2" l="1"/>
  <c r="O69" i="2" s="1"/>
  <c r="O30" i="6"/>
  <c r="P30" i="6" s="1"/>
  <c r="F29" i="6"/>
  <c r="G29" i="6" s="1"/>
  <c r="G2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鹿谷将史</author>
  </authors>
  <commentList>
    <comment ref="M12" authorId="0" shapeId="0" xr:uid="{00000000-0006-0000-0100-000003000000}">
      <text>
        <r>
          <rPr>
            <sz val="11"/>
            <color theme="1"/>
            <rFont val="游ゴシック"/>
            <family val="2"/>
            <charset val="128"/>
            <scheme val="minor"/>
          </rPr>
          <t>鹿谷将史:
https://www.nta.go.jp/taxes/shiraberu/taxanswer/shotoku/1170.htm</t>
        </r>
      </text>
    </comment>
    <comment ref="M13" authorId="0" shapeId="0" xr:uid="{00000000-0006-0000-0100-000004000000}">
      <text>
        <r>
          <rPr>
            <sz val="11"/>
            <color theme="1"/>
            <rFont val="游ゴシック"/>
            <family val="2"/>
            <charset val="128"/>
            <scheme val="minor"/>
          </rPr>
          <t>鹿谷将史:
https://www.nta.go.jp/taxes/shiraberu/taxanswer/shotoku/1171.htm</t>
        </r>
      </text>
    </comment>
    <comment ref="M14" authorId="0" shapeId="0" xr:uid="{00000000-0006-0000-0100-000005000000}">
      <text>
        <r>
          <rPr>
            <sz val="11"/>
            <color theme="1"/>
            <rFont val="游ゴシック"/>
            <family val="2"/>
            <charset val="128"/>
            <scheme val="minor"/>
          </rPr>
          <t>鹿谷将史:
https://www.nta.go.jp/taxes/shiraberu/taxanswer/shotoku/1175.htm</t>
        </r>
      </text>
    </comment>
    <comment ref="M15" authorId="0" shapeId="0" xr:uid="{00000000-0006-0000-0100-000006000000}">
      <text>
        <r>
          <rPr>
            <sz val="11"/>
            <color theme="1"/>
            <rFont val="游ゴシック"/>
            <family val="2"/>
            <charset val="128"/>
            <scheme val="minor"/>
          </rPr>
          <t>鹿谷将史:
https://www.nta.go.jp/taxes/shiraberu/taxanswer/shotoku/1160.htm</t>
        </r>
      </text>
    </comment>
    <comment ref="M16" authorId="0" shapeId="0" xr:uid="{00000000-0006-0000-0100-000007000000}">
      <text>
        <r>
          <rPr>
            <sz val="11"/>
            <color theme="1"/>
            <rFont val="游ゴシック"/>
            <family val="2"/>
            <charset val="128"/>
            <scheme val="minor"/>
          </rPr>
          <t>鹿谷将史:
https://www.nta.go.jp/taxes/shiraberu/taxanswer/shotoku/1191.htm</t>
        </r>
      </text>
    </comment>
    <comment ref="M17" authorId="0" shapeId="0" xr:uid="{00000000-0006-0000-0100-000008000000}">
      <text>
        <r>
          <rPr>
            <sz val="11"/>
            <color theme="1"/>
            <rFont val="游ゴシック"/>
            <family val="2"/>
            <charset val="128"/>
            <scheme val="minor"/>
          </rPr>
          <t>鹿谷将史:
https://www.nta.go.jp/taxes/shiraberu/taxanswer/shotoku/1195.htm</t>
        </r>
      </text>
    </comment>
    <comment ref="Z17" authorId="0" shapeId="0" xr:uid="{00000000-0006-0000-0100-000001000000}">
      <text>
        <r>
          <rPr>
            <sz val="11"/>
            <color theme="1"/>
            <rFont val="游ゴシック"/>
            <family val="2"/>
            <charset val="128"/>
            <scheme val="minor"/>
          </rPr>
          <t>鹿谷将史:
https://www.city.asago.hyogo.jp/uploaded/attachment/4545.pdf</t>
        </r>
      </text>
    </comment>
    <comment ref="M18" authorId="0" shapeId="0" xr:uid="{00000000-0006-0000-0100-000009000000}">
      <text>
        <r>
          <rPr>
            <sz val="11"/>
            <color theme="1"/>
            <rFont val="游ゴシック"/>
            <family val="2"/>
            <charset val="128"/>
            <scheme val="minor"/>
          </rPr>
          <t>鹿谷将史:
https://www.nta.go.jp/taxes/shiraberu/taxanswer/shotoku/1180.htm</t>
        </r>
      </text>
    </comment>
    <comment ref="M20" authorId="0" shapeId="0" xr:uid="{00000000-0006-0000-0100-00000A000000}">
      <text>
        <r>
          <rPr>
            <sz val="11"/>
            <color theme="1"/>
            <rFont val="游ゴシック"/>
            <family val="2"/>
            <charset val="128"/>
            <scheme val="minor"/>
          </rPr>
          <t>鹿谷将史:
https://www.nta.go.jp/taxes/shiraberu/taxanswer/shotoku/1199.htm</t>
        </r>
      </text>
    </comment>
    <comment ref="Z20" authorId="0" shapeId="0" xr:uid="{00000000-0006-0000-0100-000002000000}">
      <text>
        <r>
          <rPr>
            <sz val="11"/>
            <color theme="1"/>
            <rFont val="游ゴシック"/>
            <family val="2"/>
            <charset val="128"/>
            <scheme val="minor"/>
          </rPr>
          <t>鹿谷将史:
https://tokyotacs.com/column/4238</t>
        </r>
      </text>
    </comment>
    <comment ref="M24" authorId="0" shapeId="0" xr:uid="{00000000-0006-0000-0100-00000B000000}">
      <text>
        <r>
          <rPr>
            <sz val="11"/>
            <color theme="1"/>
            <rFont val="游ゴシック"/>
            <family val="2"/>
            <charset val="128"/>
            <scheme val="minor"/>
          </rPr>
          <t>鹿谷将史:
https://www.nta.go.jp/taxes/shiraberu/taxanswer/shotoku/1150.htm
https://www.nta.go.jp/taxes/shiraberu/taxanswer/shotoku/1155.htm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<sst xmlns="http://schemas.openxmlformats.org/spreadsheetml/2006/main" count="510" uniqueCount="289">
  <si>
    <t>前期</t>
  </si>
  <si>
    <t>当期</t>
  </si>
  <si>
    <t>社会保険料控除</t>
  </si>
  <si>
    <t>金額を入力</t>
  </si>
  <si>
    <t>短期譲渡所得金額</t>
  </si>
  <si>
    <t>一般</t>
  </si>
  <si>
    <t>小規模企業共済等掛金控除</t>
  </si>
  <si>
    <t>選択</t>
  </si>
  <si>
    <t>軽減</t>
  </si>
  <si>
    <t>生命保険料控除</t>
  </si>
  <si>
    <t>人数または寄付先団体数を入力</t>
  </si>
  <si>
    <t>長期譲渡所得金額</t>
  </si>
  <si>
    <t>地震保険料控除</t>
  </si>
  <si>
    <t>特定</t>
  </si>
  <si>
    <t>寡婦控除</t>
  </si>
  <si>
    <t>×</t>
  </si>
  <si>
    <t>軽課</t>
  </si>
  <si>
    <t>ひとり親控除</t>
  </si>
  <si>
    <t>一般株式等に係る譲渡所得等の金額</t>
  </si>
  <si>
    <t>勤労学生控除</t>
  </si>
  <si>
    <t>上場株式等に係る譲渡所得の金額</t>
  </si>
  <si>
    <t>障碍者控除</t>
  </si>
  <si>
    <t>障碍者</t>
  </si>
  <si>
    <t>それぞれの人数を入力</t>
  </si>
  <si>
    <t>上場株式等に係る配当所得等の金額</t>
  </si>
  <si>
    <t>特別障碍者</t>
  </si>
  <si>
    <t>先物取引に係る雑所得等の金額</t>
  </si>
  <si>
    <t>同居特別障碍者</t>
  </si>
  <si>
    <t>山林所得金額</t>
  </si>
  <si>
    <t>配偶者控除</t>
  </si>
  <si>
    <t>退職所得金額</t>
  </si>
  <si>
    <t>配偶者特別控除</t>
  </si>
  <si>
    <t>配偶者の合計所得金額を入力</t>
  </si>
  <si>
    <t>扶養控除</t>
  </si>
  <si>
    <t>特定扶養親族</t>
  </si>
  <si>
    <t>老人扶養親族</t>
  </si>
  <si>
    <t>同居老人扶養親族</t>
  </si>
  <si>
    <t>雑損控除</t>
  </si>
  <si>
    <t>医療費控除</t>
  </si>
  <si>
    <t>寄付金控除</t>
  </si>
  <si>
    <t>特定寄付金の金額を入力</t>
  </si>
  <si>
    <t>政党等寄付金等特別控除</t>
  </si>
  <si>
    <t>所得金額</t>
  </si>
  <si>
    <t>指定都市</t>
  </si>
  <si>
    <t>所得金額合計</t>
  </si>
  <si>
    <t>市</t>
  </si>
  <si>
    <t>県</t>
  </si>
  <si>
    <t>障害者控除</t>
  </si>
  <si>
    <t>合計</t>
  </si>
  <si>
    <t>基礎控除</t>
  </si>
  <si>
    <t>基本控除額</t>
  </si>
  <si>
    <t>控除合計</t>
  </si>
  <si>
    <t>控除額</t>
  </si>
  <si>
    <t>所得割額の20%</t>
  </si>
  <si>
    <t>市の20%上限</t>
  </si>
  <si>
    <t>寄付による減税額</t>
  </si>
  <si>
    <t>所得税</t>
  </si>
  <si>
    <t>↓</t>
  </si>
  <si>
    <t>市の特例(上限適用後)</t>
  </si>
  <si>
    <t>住民税</t>
  </si>
  <si>
    <t>控除小計</t>
  </si>
  <si>
    <t>課税される所得金額</t>
  </si>
  <si>
    <t>指定都市以外</t>
  </si>
  <si>
    <t>~</t>
  </si>
  <si>
    <t>課税所得総所得金額－人的控除差調整額</t>
  </si>
  <si>
    <t>税率</t>
  </si>
  <si>
    <t>調整控除</t>
  </si>
  <si>
    <t>基本控除</t>
  </si>
  <si>
    <t>所得税</t>
    <rPh sb="0" eb="3">
      <t>ショトクゼイ</t>
    </rPh>
    <phoneticPr fontId="2"/>
  </si>
  <si>
    <t>第一表</t>
    <rPh sb="0" eb="1">
      <t>ダイ</t>
    </rPh>
    <rPh sb="1" eb="3">
      <t>イッピョウ</t>
    </rPh>
    <phoneticPr fontId="2"/>
  </si>
  <si>
    <t>第三表</t>
    <rPh sb="0" eb="2">
      <t>ダイサン</t>
    </rPh>
    <rPh sb="2" eb="3">
      <t>ヒョウ</t>
    </rPh>
    <phoneticPr fontId="2"/>
  </si>
  <si>
    <t>所得金額</t>
    <rPh sb="0" eb="2">
      <t>ショトク</t>
    </rPh>
    <rPh sb="2" eb="4">
      <t>キンガク</t>
    </rPh>
    <phoneticPr fontId="2"/>
  </si>
  <si>
    <t>総合課税の合計額</t>
    <rPh sb="0" eb="2">
      <t>ソウゴウ</t>
    </rPh>
    <rPh sb="2" eb="4">
      <t>カゼイ</t>
    </rPh>
    <rPh sb="5" eb="7">
      <t>ゴウケイ</t>
    </rPh>
    <rPh sb="7" eb="8">
      <t>ガク</t>
    </rPh>
    <phoneticPr fontId="2"/>
  </si>
  <si>
    <t>所得から差し引かれる金額</t>
    <rPh sb="0" eb="2">
      <t>ショトク</t>
    </rPh>
    <rPh sb="4" eb="5">
      <t>サ</t>
    </rPh>
    <rPh sb="6" eb="7">
      <t>ヒ</t>
    </rPh>
    <rPh sb="10" eb="12">
      <t>キンガク</t>
    </rPh>
    <phoneticPr fontId="2"/>
  </si>
  <si>
    <t>総合課税</t>
    <rPh sb="0" eb="2">
      <t>ソウゴウ</t>
    </rPh>
    <rPh sb="2" eb="4">
      <t>カゼイ</t>
    </rPh>
    <phoneticPr fontId="2"/>
  </si>
  <si>
    <t>短期譲渡</t>
    <phoneticPr fontId="2"/>
  </si>
  <si>
    <t>長期譲渡</t>
    <phoneticPr fontId="2"/>
  </si>
  <si>
    <t>一般・上場株式の譲渡</t>
    <rPh sb="0" eb="2">
      <t>イッパン</t>
    </rPh>
    <rPh sb="3" eb="5">
      <t>ジョウジョウ</t>
    </rPh>
    <rPh sb="5" eb="7">
      <t>カブシキ</t>
    </rPh>
    <rPh sb="8" eb="10">
      <t>ジョウト</t>
    </rPh>
    <phoneticPr fontId="2"/>
  </si>
  <si>
    <t>上場株式の配当等</t>
    <rPh sb="0" eb="2">
      <t>ジョウジョウ</t>
    </rPh>
    <rPh sb="2" eb="4">
      <t>カブシキ</t>
    </rPh>
    <rPh sb="5" eb="7">
      <t>ハイトウ</t>
    </rPh>
    <rPh sb="7" eb="8">
      <t>トウ</t>
    </rPh>
    <phoneticPr fontId="2"/>
  </si>
  <si>
    <t>先物取引</t>
    <rPh sb="0" eb="2">
      <t>サキモノ</t>
    </rPh>
    <rPh sb="2" eb="3">
      <t>トリ</t>
    </rPh>
    <rPh sb="3" eb="4">
      <t>ヒ</t>
    </rPh>
    <phoneticPr fontId="2"/>
  </si>
  <si>
    <t>山林</t>
    <phoneticPr fontId="2"/>
  </si>
  <si>
    <t>退職</t>
    <phoneticPr fontId="2"/>
  </si>
  <si>
    <t>課税される所得金額</t>
    <rPh sb="0" eb="2">
      <t>カゼイ</t>
    </rPh>
    <rPh sb="5" eb="7">
      <t>ショトク</t>
    </rPh>
    <rPh sb="7" eb="9">
      <t>キンガク</t>
    </rPh>
    <phoneticPr fontId="2"/>
  </si>
  <si>
    <t>住民税</t>
    <rPh sb="0" eb="3">
      <t>ジュウミンゼイ</t>
    </rPh>
    <phoneticPr fontId="2"/>
  </si>
  <si>
    <t>経常所得</t>
    <rPh sb="0" eb="2">
      <t>ケイジョウ</t>
    </rPh>
    <rPh sb="2" eb="4">
      <t>ショトク</t>
    </rPh>
    <phoneticPr fontId="2"/>
  </si>
  <si>
    <t>一時所得</t>
    <rPh sb="0" eb="2">
      <t>イチジ</t>
    </rPh>
    <rPh sb="2" eb="4">
      <t>ショトク</t>
    </rPh>
    <phoneticPr fontId="2"/>
  </si>
  <si>
    <t>所得金額（損益通算前）</t>
    <rPh sb="0" eb="2">
      <t>ショトク</t>
    </rPh>
    <rPh sb="2" eb="4">
      <t>キンガク</t>
    </rPh>
    <rPh sb="5" eb="7">
      <t>ソンエキ</t>
    </rPh>
    <rPh sb="7" eb="9">
      <t>ツウサン</t>
    </rPh>
    <rPh sb="9" eb="10">
      <t>マエ</t>
    </rPh>
    <phoneticPr fontId="2"/>
  </si>
  <si>
    <t>事業所得（営業等）</t>
    <rPh sb="0" eb="2">
      <t>ジギョウ</t>
    </rPh>
    <rPh sb="2" eb="4">
      <t>ショトク</t>
    </rPh>
    <rPh sb="5" eb="7">
      <t>エイギョウ</t>
    </rPh>
    <rPh sb="7" eb="8">
      <t>トウ</t>
    </rPh>
    <phoneticPr fontId="2"/>
  </si>
  <si>
    <t>事業所得（農業）</t>
    <rPh sb="0" eb="2">
      <t>ジギョウ</t>
    </rPh>
    <rPh sb="2" eb="4">
      <t>ショトク</t>
    </rPh>
    <rPh sb="5" eb="7">
      <t>ノウギョウ</t>
    </rPh>
    <phoneticPr fontId="2"/>
  </si>
  <si>
    <t>不動産所得</t>
    <rPh sb="0" eb="3">
      <t>フドウサン</t>
    </rPh>
    <rPh sb="3" eb="5">
      <t>ショトク</t>
    </rPh>
    <phoneticPr fontId="2"/>
  </si>
  <si>
    <t>配当所得</t>
    <rPh sb="0" eb="2">
      <t>ハイトウ</t>
    </rPh>
    <rPh sb="2" eb="4">
      <t>ショトク</t>
    </rPh>
    <phoneticPr fontId="2"/>
  </si>
  <si>
    <t>給与所得</t>
    <rPh sb="0" eb="2">
      <t>キュウヨ</t>
    </rPh>
    <rPh sb="2" eb="4">
      <t>ショトク</t>
    </rPh>
    <phoneticPr fontId="2"/>
  </si>
  <si>
    <t>雑所得（公的年金等）</t>
    <rPh sb="0" eb="3">
      <t>ザツショトク</t>
    </rPh>
    <rPh sb="4" eb="6">
      <t>コウテキ</t>
    </rPh>
    <rPh sb="6" eb="8">
      <t>ネンキン</t>
    </rPh>
    <rPh sb="8" eb="9">
      <t>トウ</t>
    </rPh>
    <phoneticPr fontId="2"/>
  </si>
  <si>
    <t>雑所得（業務）</t>
    <rPh sb="0" eb="3">
      <t>ザツショトク</t>
    </rPh>
    <rPh sb="4" eb="6">
      <t>ギョウム</t>
    </rPh>
    <phoneticPr fontId="2"/>
  </si>
  <si>
    <t>雑所得（その他）</t>
    <rPh sb="0" eb="3">
      <t>ザツショトク</t>
    </rPh>
    <rPh sb="6" eb="7">
      <t>タ</t>
    </rPh>
    <phoneticPr fontId="2"/>
  </si>
  <si>
    <t>総合譲渡所得（短期）</t>
    <rPh sb="0" eb="2">
      <t>ソウゴウ</t>
    </rPh>
    <rPh sb="2" eb="4">
      <t>ジョウト</t>
    </rPh>
    <rPh sb="4" eb="6">
      <t>ショトク</t>
    </rPh>
    <rPh sb="7" eb="9">
      <t>タンキ</t>
    </rPh>
    <phoneticPr fontId="2"/>
  </si>
  <si>
    <t>総合譲渡所得（長期）</t>
    <rPh sb="0" eb="2">
      <t>ソウゴウ</t>
    </rPh>
    <rPh sb="2" eb="4">
      <t>ジョウト</t>
    </rPh>
    <rPh sb="4" eb="6">
      <t>ショトク</t>
    </rPh>
    <rPh sb="7" eb="9">
      <t>チョウキ</t>
    </rPh>
    <phoneticPr fontId="2"/>
  </si>
  <si>
    <t>損益通算（前期）</t>
    <rPh sb="0" eb="2">
      <t>ソンエキ</t>
    </rPh>
    <rPh sb="2" eb="4">
      <t>ツウサン</t>
    </rPh>
    <rPh sb="5" eb="7">
      <t>ゼンキ</t>
    </rPh>
    <phoneticPr fontId="2"/>
  </si>
  <si>
    <t>通算前</t>
    <rPh sb="0" eb="2">
      <t>ツウサン</t>
    </rPh>
    <rPh sb="2" eb="3">
      <t>マエ</t>
    </rPh>
    <phoneticPr fontId="2"/>
  </si>
  <si>
    <t>第1次通算後</t>
    <rPh sb="0" eb="1">
      <t>ダイ</t>
    </rPh>
    <rPh sb="2" eb="3">
      <t>ジ</t>
    </rPh>
    <rPh sb="3" eb="5">
      <t>ツウサン</t>
    </rPh>
    <rPh sb="5" eb="6">
      <t>ゴ</t>
    </rPh>
    <phoneticPr fontId="2"/>
  </si>
  <si>
    <t>第2次通算後</t>
    <rPh sb="0" eb="1">
      <t>ダイ</t>
    </rPh>
    <rPh sb="2" eb="3">
      <t>ジ</t>
    </rPh>
    <rPh sb="3" eb="5">
      <t>ツウサン</t>
    </rPh>
    <rPh sb="5" eb="6">
      <t>ゴ</t>
    </rPh>
    <phoneticPr fontId="2"/>
  </si>
  <si>
    <t>第3次通算後</t>
    <rPh sb="0" eb="1">
      <t>ダイ</t>
    </rPh>
    <rPh sb="2" eb="3">
      <t>ジ</t>
    </rPh>
    <rPh sb="3" eb="5">
      <t>ツウサン</t>
    </rPh>
    <rPh sb="5" eb="6">
      <t>ゴ</t>
    </rPh>
    <phoneticPr fontId="2"/>
  </si>
  <si>
    <t>分離課税短期譲渡所得金額</t>
    <rPh sb="0" eb="2">
      <t>ブンリ</t>
    </rPh>
    <rPh sb="2" eb="4">
      <t>カゼイ</t>
    </rPh>
    <phoneticPr fontId="2"/>
  </si>
  <si>
    <t>分離課税長期譲渡所得金額</t>
    <rPh sb="0" eb="2">
      <t>ブンリ</t>
    </rPh>
    <rPh sb="2" eb="4">
      <t>カゼイ</t>
    </rPh>
    <phoneticPr fontId="2"/>
  </si>
  <si>
    <t>総合譲渡所得（短期）</t>
    <rPh sb="0" eb="6">
      <t>ソウゴウジョウトショトク</t>
    </rPh>
    <rPh sb="7" eb="9">
      <t>タンキ</t>
    </rPh>
    <phoneticPr fontId="2"/>
  </si>
  <si>
    <t>総合譲渡所得（長期）</t>
    <rPh sb="0" eb="6">
      <t>ソウゴウジョウトショトク</t>
    </rPh>
    <rPh sb="7" eb="9">
      <t>チョウキ</t>
    </rPh>
    <phoneticPr fontId="2"/>
  </si>
  <si>
    <t>一時</t>
    <rPh sb="0" eb="2">
      <t>イチジ</t>
    </rPh>
    <phoneticPr fontId="2"/>
  </si>
  <si>
    <t>所得の種類</t>
    <rPh sb="0" eb="2">
      <t>ショトク</t>
    </rPh>
    <rPh sb="3" eb="5">
      <t>シュルイ</t>
    </rPh>
    <phoneticPr fontId="2"/>
  </si>
  <si>
    <t>差引金額</t>
    <rPh sb="0" eb="2">
      <t>サシヒキ</t>
    </rPh>
    <rPh sb="2" eb="4">
      <t>キンガク</t>
    </rPh>
    <phoneticPr fontId="2"/>
  </si>
  <si>
    <t>通算後</t>
    <rPh sb="0" eb="2">
      <t>ツウサン</t>
    </rPh>
    <rPh sb="2" eb="3">
      <t>ゴ</t>
    </rPh>
    <phoneticPr fontId="2"/>
  </si>
  <si>
    <t>特別控除</t>
    <rPh sb="0" eb="2">
      <t>トクベツ</t>
    </rPh>
    <rPh sb="2" eb="4">
      <t>コウジョ</t>
    </rPh>
    <phoneticPr fontId="2"/>
  </si>
  <si>
    <t>譲渡・一時の通算後</t>
    <rPh sb="0" eb="2">
      <t>ジョウト</t>
    </rPh>
    <rPh sb="3" eb="5">
      <t>イチジ</t>
    </rPh>
    <rPh sb="6" eb="8">
      <t>ツウサン</t>
    </rPh>
    <rPh sb="8" eb="9">
      <t>ゴ</t>
    </rPh>
    <phoneticPr fontId="2"/>
  </si>
  <si>
    <t>譲渡・一時所得の損益の通算</t>
    <rPh sb="0" eb="2">
      <t>ジョウト</t>
    </rPh>
    <rPh sb="3" eb="5">
      <t>イチジ</t>
    </rPh>
    <rPh sb="5" eb="7">
      <t>ショトク</t>
    </rPh>
    <rPh sb="8" eb="10">
      <t>ソンエキ</t>
    </rPh>
    <rPh sb="11" eb="13">
      <t>ツウサン</t>
    </rPh>
    <phoneticPr fontId="2"/>
  </si>
  <si>
    <t>第1次</t>
    <rPh sb="0" eb="1">
      <t>ダイ</t>
    </rPh>
    <rPh sb="2" eb="3">
      <t>ジ</t>
    </rPh>
    <phoneticPr fontId="2"/>
  </si>
  <si>
    <t>第2次</t>
    <rPh sb="0" eb="1">
      <t>ダイ</t>
    </rPh>
    <rPh sb="2" eb="3">
      <t>ジ</t>
    </rPh>
    <phoneticPr fontId="2"/>
  </si>
  <si>
    <t>第3次</t>
    <rPh sb="0" eb="1">
      <t>ダイ</t>
    </rPh>
    <rPh sb="2" eb="3">
      <t>ジ</t>
    </rPh>
    <phoneticPr fontId="2"/>
  </si>
  <si>
    <t>損益通算（当期）</t>
    <rPh sb="0" eb="2">
      <t>ソンエキ</t>
    </rPh>
    <rPh sb="2" eb="4">
      <t>ツウサン</t>
    </rPh>
    <rPh sb="5" eb="7">
      <t>トウキ</t>
    </rPh>
    <phoneticPr fontId="2"/>
  </si>
  <si>
    <t>所得金額の合計額</t>
    <rPh sb="0" eb="2">
      <t>ショトク</t>
    </rPh>
    <rPh sb="2" eb="4">
      <t>キンガク</t>
    </rPh>
    <rPh sb="5" eb="7">
      <t>ゴウケイ</t>
    </rPh>
    <rPh sb="7" eb="8">
      <t>ガク</t>
    </rPh>
    <phoneticPr fontId="2"/>
  </si>
  <si>
    <t>税額</t>
    <rPh sb="0" eb="2">
      <t>ゼイガク</t>
    </rPh>
    <phoneticPr fontId="2"/>
  </si>
  <si>
    <t>復興特別所得税</t>
    <rPh sb="0" eb="2">
      <t>フッコウ</t>
    </rPh>
    <rPh sb="2" eb="4">
      <t>トクベツ</t>
    </rPh>
    <rPh sb="4" eb="7">
      <t>ショトクゼイ</t>
    </rPh>
    <phoneticPr fontId="2"/>
  </si>
  <si>
    <t>所得税及び復興特別所得税の額</t>
    <rPh sb="0" eb="3">
      <t>ショトクゼイ</t>
    </rPh>
    <rPh sb="3" eb="4">
      <t>オヨ</t>
    </rPh>
    <rPh sb="5" eb="7">
      <t>フッコウ</t>
    </rPh>
    <rPh sb="7" eb="9">
      <t>トクベツ</t>
    </rPh>
    <rPh sb="9" eb="12">
      <t>ショトクゼイ</t>
    </rPh>
    <rPh sb="13" eb="14">
      <t>ガク</t>
    </rPh>
    <phoneticPr fontId="2"/>
  </si>
  <si>
    <t>申告納税額</t>
    <rPh sb="0" eb="2">
      <t>シンコク</t>
    </rPh>
    <rPh sb="2" eb="4">
      <t>ノウゼイ</t>
    </rPh>
    <rPh sb="4" eb="5">
      <t>ガク</t>
    </rPh>
    <phoneticPr fontId="2"/>
  </si>
  <si>
    <t>特別税額控除の人数</t>
    <rPh sb="0" eb="2">
      <t>トクベツ</t>
    </rPh>
    <rPh sb="2" eb="4">
      <t>ゼイガク</t>
    </rPh>
    <rPh sb="4" eb="6">
      <t>コウジョ</t>
    </rPh>
    <rPh sb="7" eb="9">
      <t>ニンズウ</t>
    </rPh>
    <phoneticPr fontId="2"/>
  </si>
  <si>
    <t>特別税額控除</t>
    <rPh sb="0" eb="2">
      <t>トクベツ</t>
    </rPh>
    <rPh sb="2" eb="4">
      <t>ゼイガク</t>
    </rPh>
    <rPh sb="4" eb="6">
      <t>コウジョ</t>
    </rPh>
    <phoneticPr fontId="2"/>
  </si>
  <si>
    <t>再々差引所得税額</t>
    <rPh sb="0" eb="1">
      <t>サイ</t>
    </rPh>
    <rPh sb="2" eb="4">
      <t>サシヒキ</t>
    </rPh>
    <rPh sb="4" eb="7">
      <t>ショトクゼイ</t>
    </rPh>
    <rPh sb="7" eb="8">
      <t>ガク</t>
    </rPh>
    <phoneticPr fontId="2"/>
  </si>
  <si>
    <t>源泉徴収税額</t>
    <rPh sb="0" eb="6">
      <t>ゲンセンチョウシュウゼイガク</t>
    </rPh>
    <phoneticPr fontId="2"/>
  </si>
  <si>
    <t>源泉徴収税額</t>
    <rPh sb="0" eb="2">
      <t>ゲンセン</t>
    </rPh>
    <rPh sb="2" eb="4">
      <t>チョウシュウ</t>
    </rPh>
    <rPh sb="4" eb="6">
      <t>ゼイガク</t>
    </rPh>
    <phoneticPr fontId="2"/>
  </si>
  <si>
    <t>※注意：上記の20%上限の基礎は『税額控除前の住民税所得割額』です。住宅ローン控除等の税額控除がある場合は、各控除の適用順序と相互作用により実効上限が下がることがあります。</t>
  </si>
  <si>
    <t>課税総所得金額（計算結果!w7）</t>
    <phoneticPr fontId="2"/>
  </si>
  <si>
    <t>当期(寄付なし)</t>
    <rPh sb="3" eb="5">
      <t>キフ</t>
    </rPh>
    <phoneticPr fontId="2"/>
  </si>
  <si>
    <t>前期</t>
    <rPh sb="0" eb="2">
      <t>ゼンキ</t>
    </rPh>
    <phoneticPr fontId="2"/>
  </si>
  <si>
    <t>当期</t>
    <rPh sb="0" eb="2">
      <t>トウキ</t>
    </rPh>
    <phoneticPr fontId="2"/>
  </si>
  <si>
    <t>人的控除額の差の合計額</t>
    <rPh sb="0" eb="2">
      <t>ジンテキ</t>
    </rPh>
    <rPh sb="2" eb="4">
      <t>コウジョ</t>
    </rPh>
    <rPh sb="4" eb="5">
      <t>ガク</t>
    </rPh>
    <rPh sb="6" eb="7">
      <t>サ</t>
    </rPh>
    <rPh sb="8" eb="10">
      <t>ゴウケイ</t>
    </rPh>
    <rPh sb="10" eb="11">
      <t>ガク</t>
    </rPh>
    <phoneticPr fontId="2"/>
  </si>
  <si>
    <t>調整控除</t>
    <rPh sb="0" eb="2">
      <t>チョウセイ</t>
    </rPh>
    <rPh sb="2" eb="4">
      <t>コウジョ</t>
    </rPh>
    <phoneticPr fontId="2"/>
  </si>
  <si>
    <t>①控除額の計算</t>
    <rPh sb="1" eb="3">
      <t>コウジョ</t>
    </rPh>
    <rPh sb="3" eb="4">
      <t>ガク</t>
    </rPh>
    <rPh sb="5" eb="7">
      <t>ケイサン</t>
    </rPh>
    <phoneticPr fontId="2"/>
  </si>
  <si>
    <t>②人的控除額の差</t>
    <rPh sb="1" eb="3">
      <t>ジンテキ</t>
    </rPh>
    <rPh sb="3" eb="5">
      <t>コウジョ</t>
    </rPh>
    <rPh sb="5" eb="6">
      <t>ガク</t>
    </rPh>
    <rPh sb="7" eb="8">
      <t>サ</t>
    </rPh>
    <phoneticPr fontId="2"/>
  </si>
  <si>
    <t>所得税率</t>
    <rPh sb="0" eb="2">
      <t>ショトク</t>
    </rPh>
    <rPh sb="2" eb="4">
      <t>ゼイリツ</t>
    </rPh>
    <phoneticPr fontId="2"/>
  </si>
  <si>
    <t>復興考慮</t>
    <rPh sb="0" eb="2">
      <t>フッコウ</t>
    </rPh>
    <rPh sb="2" eb="4">
      <t>コウリョ</t>
    </rPh>
    <phoneticPr fontId="2"/>
  </si>
  <si>
    <t>課税総所得金額ー人的控除差調整額がゼロ未満かつ山林がゼロかつ退職がゼロ</t>
    <rPh sb="0" eb="7">
      <t>カゼイソウショトクキンガク</t>
    </rPh>
    <rPh sb="8" eb="10">
      <t>ジンテキ</t>
    </rPh>
    <rPh sb="10" eb="12">
      <t>コウジョ</t>
    </rPh>
    <rPh sb="12" eb="13">
      <t>サ</t>
    </rPh>
    <rPh sb="13" eb="15">
      <t>チョウセイ</t>
    </rPh>
    <rPh sb="15" eb="16">
      <t>ガク</t>
    </rPh>
    <rPh sb="19" eb="21">
      <t>ミマン</t>
    </rPh>
    <rPh sb="23" eb="25">
      <t>サンリン</t>
    </rPh>
    <rPh sb="30" eb="32">
      <t>タイショク</t>
    </rPh>
    <phoneticPr fontId="2"/>
  </si>
  <si>
    <t>C-2課税総所得金額ー人的控除差調整額がゼロ未満かつ山林がゼロかつ退職がゼロ</t>
    <rPh sb="3" eb="10">
      <t>カゼイソウショトクキンガク</t>
    </rPh>
    <rPh sb="11" eb="13">
      <t>ジンテキ</t>
    </rPh>
    <rPh sb="13" eb="15">
      <t>コウジョ</t>
    </rPh>
    <rPh sb="15" eb="16">
      <t>サ</t>
    </rPh>
    <rPh sb="16" eb="18">
      <t>チョウセイ</t>
    </rPh>
    <rPh sb="18" eb="19">
      <t>ガク</t>
    </rPh>
    <rPh sb="22" eb="24">
      <t>ミマン</t>
    </rPh>
    <rPh sb="26" eb="28">
      <t>サンリン</t>
    </rPh>
    <rPh sb="33" eb="35">
      <t>タイショク</t>
    </rPh>
    <phoneticPr fontId="2"/>
  </si>
  <si>
    <t>C-3課税総所得金額ー人的控除差調整額がゼロ未満かつ山林または退職がある</t>
    <rPh sb="3" eb="5">
      <t>カゼイ</t>
    </rPh>
    <rPh sb="5" eb="8">
      <t>ソウショトク</t>
    </rPh>
    <rPh sb="8" eb="10">
      <t>キンガク</t>
    </rPh>
    <rPh sb="11" eb="13">
      <t>ジンテキコ</t>
    </rPh>
    <rPh sb="13" eb="24">
      <t>ウジョサチョウセイガクガゼロミマン</t>
    </rPh>
    <rPh sb="26" eb="28">
      <t>サンリン</t>
    </rPh>
    <rPh sb="31" eb="33">
      <t>タイショク</t>
    </rPh>
    <phoneticPr fontId="2"/>
  </si>
  <si>
    <t>C-4分離課税の所得がある</t>
    <rPh sb="3" eb="5">
      <t>ブンリ</t>
    </rPh>
    <rPh sb="5" eb="7">
      <t>カゼイ</t>
    </rPh>
    <rPh sb="8" eb="10">
      <t>ショトク</t>
    </rPh>
    <phoneticPr fontId="2"/>
  </si>
  <si>
    <t>土地等に係る事業所得等</t>
    <rPh sb="0" eb="2">
      <t>トチ</t>
    </rPh>
    <rPh sb="2" eb="3">
      <t>トウ</t>
    </rPh>
    <rPh sb="4" eb="5">
      <t>カカワ</t>
    </rPh>
    <rPh sb="6" eb="8">
      <t>ジギョウ</t>
    </rPh>
    <rPh sb="8" eb="10">
      <t>ショトク</t>
    </rPh>
    <rPh sb="10" eb="11">
      <t>トウ</t>
    </rPh>
    <phoneticPr fontId="2"/>
  </si>
  <si>
    <t>短期譲渡所得</t>
    <rPh sb="0" eb="2">
      <t>タンキ</t>
    </rPh>
    <rPh sb="2" eb="4">
      <t>ジョウト</t>
    </rPh>
    <rPh sb="4" eb="6">
      <t>ショトク</t>
    </rPh>
    <phoneticPr fontId="2"/>
  </si>
  <si>
    <t>長期譲渡所得</t>
    <rPh sb="0" eb="2">
      <t>チョウキ</t>
    </rPh>
    <rPh sb="2" eb="4">
      <t>ジョウト</t>
    </rPh>
    <rPh sb="4" eb="6">
      <t>ショトク</t>
    </rPh>
    <phoneticPr fontId="2"/>
  </si>
  <si>
    <t>上場配当所得</t>
    <rPh sb="0" eb="2">
      <t>ジョウジョウ</t>
    </rPh>
    <rPh sb="2" eb="4">
      <t>ハイトウ</t>
    </rPh>
    <rPh sb="4" eb="6">
      <t>ショトク</t>
    </rPh>
    <phoneticPr fontId="2"/>
  </si>
  <si>
    <t>株式譲渡所得</t>
    <rPh sb="0" eb="2">
      <t>カブシキ</t>
    </rPh>
    <rPh sb="2" eb="4">
      <t>ジョウト</t>
    </rPh>
    <rPh sb="4" eb="6">
      <t>ショトク</t>
    </rPh>
    <phoneticPr fontId="2"/>
  </si>
  <si>
    <t>先物取引</t>
    <rPh sb="0" eb="2">
      <t>サキモノ</t>
    </rPh>
    <rPh sb="2" eb="4">
      <t>トリヒキ</t>
    </rPh>
    <phoneticPr fontId="2"/>
  </si>
  <si>
    <t>課税総所得金額 − 人的控除差調整額</t>
    <phoneticPr fontId="2"/>
  </si>
  <si>
    <t>課税所得(総合)</t>
    <phoneticPr fontId="2"/>
  </si>
  <si>
    <t>山林所得金額</t>
    <phoneticPr fontId="2"/>
  </si>
  <si>
    <t>退職所得金額</t>
    <phoneticPr fontId="2"/>
  </si>
  <si>
    <t>上場配当</t>
    <phoneticPr fontId="2"/>
  </si>
  <si>
    <t>上場譲渡</t>
    <phoneticPr fontId="2"/>
  </si>
  <si>
    <t>短期譲渡</t>
    <phoneticPr fontId="2"/>
  </si>
  <si>
    <t>長期譲渡</t>
    <phoneticPr fontId="2"/>
  </si>
  <si>
    <t>(ア)特例控除率（標準）</t>
    <phoneticPr fontId="2"/>
  </si>
  <si>
    <t>(イ)特例控除率（90%固定）</t>
    <phoneticPr fontId="2"/>
  </si>
  <si>
    <t>(ウ)山林（1/5）ベースの率</t>
    <phoneticPr fontId="2"/>
  </si>
  <si>
    <t>(ウ)退職ベースの率</t>
    <phoneticPr fontId="2"/>
  </si>
  <si>
    <t>(ウ)採用率（小さい方）</t>
    <phoneticPr fontId="2"/>
  </si>
  <si>
    <t>(エ)分離課税に基づく率（最小）</t>
    <phoneticPr fontId="2"/>
  </si>
  <si>
    <t>特例控除の最終率</t>
    <phoneticPr fontId="2"/>
  </si>
  <si>
    <t>特例控除額</t>
    <rPh sb="0" eb="2">
      <t>トクレイ</t>
    </rPh>
    <phoneticPr fontId="2"/>
  </si>
  <si>
    <t>寄付金控除</t>
    <phoneticPr fontId="2"/>
  </si>
  <si>
    <t>特定寄付金</t>
    <phoneticPr fontId="2"/>
  </si>
  <si>
    <t>ふるさと納税</t>
    <phoneticPr fontId="2"/>
  </si>
  <si>
    <t>政党等寄付金等特別控除</t>
    <phoneticPr fontId="2"/>
  </si>
  <si>
    <t>政党等寄付金</t>
    <phoneticPr fontId="2"/>
  </si>
  <si>
    <t>認定NPO法人寄付金</t>
    <phoneticPr fontId="2"/>
  </si>
  <si>
    <t>公益社団法人等寄付金</t>
    <phoneticPr fontId="2"/>
  </si>
  <si>
    <t>共同募金・日赤</t>
    <phoneticPr fontId="2"/>
  </si>
  <si>
    <t>条例指定NPO</t>
    <phoneticPr fontId="2"/>
  </si>
  <si>
    <t>基本控除対象寄付合計（住民税）</t>
    <phoneticPr fontId="2"/>
  </si>
  <si>
    <t>特例控除対象寄付合計（住民税）</t>
    <phoneticPr fontId="2"/>
  </si>
  <si>
    <t>ワンストップ適用フラグ</t>
    <phoneticPr fontId="2"/>
  </si>
  <si>
    <t>寄付先団体数</t>
    <phoneticPr fontId="2"/>
  </si>
  <si>
    <t>所得税申告</t>
    <phoneticPr fontId="2"/>
  </si>
  <si>
    <t>課税総所得金額</t>
    <phoneticPr fontId="2"/>
  </si>
  <si>
    <t>寄付金額</t>
    <phoneticPr fontId="2"/>
  </si>
  <si>
    <t>ふるさと納税寄付金額</t>
    <phoneticPr fontId="2"/>
  </si>
  <si>
    <t>調整控除前所得割額</t>
    <phoneticPr fontId="2"/>
  </si>
  <si>
    <t>調整控除額</t>
    <phoneticPr fontId="2"/>
  </si>
  <si>
    <t>調整控除後所得割額</t>
    <phoneticPr fontId="2"/>
  </si>
  <si>
    <t>結果</t>
    <phoneticPr fontId="2"/>
  </si>
  <si>
    <t>市</t>
    <rPh sb="0" eb="1">
      <t>シ</t>
    </rPh>
    <phoneticPr fontId="2"/>
  </si>
  <si>
    <t>県</t>
    <rPh sb="0" eb="1">
      <t>ケン</t>
    </rPh>
    <phoneticPr fontId="2"/>
  </si>
  <si>
    <t>特例控除の控除率の決定</t>
    <rPh sb="5" eb="7">
      <t>コウジョ</t>
    </rPh>
    <rPh sb="7" eb="8">
      <t>リツ</t>
    </rPh>
    <rPh sb="9" eb="11">
      <t>ケッテイ</t>
    </rPh>
    <phoneticPr fontId="2"/>
  </si>
  <si>
    <t>申告特例控除</t>
    <rPh sb="0" eb="6">
      <t>シンコクトクレイコウジョ</t>
    </rPh>
    <phoneticPr fontId="2"/>
  </si>
  <si>
    <t>かつCも計算したうえで該当する%の中でいずれか低い%</t>
    <rPh sb="4" eb="6">
      <t>ケイサン</t>
    </rPh>
    <rPh sb="11" eb="13">
      <t>ガイトウ</t>
    </rPh>
    <rPh sb="17" eb="18">
      <t>ナカ</t>
    </rPh>
    <rPh sb="23" eb="24">
      <t>ヒク</t>
    </rPh>
    <phoneticPr fontId="2"/>
  </si>
  <si>
    <t>分離課税の所得がある（Aに当てはまっても分離課税があればDも適用）</t>
    <rPh sb="0" eb="2">
      <t>ブンリ</t>
    </rPh>
    <rPh sb="2" eb="4">
      <t>カゼイ</t>
    </rPh>
    <rPh sb="5" eb="7">
      <t>ショトク</t>
    </rPh>
    <rPh sb="13" eb="14">
      <t>ア</t>
    </rPh>
    <rPh sb="20" eb="22">
      <t>ブンリ</t>
    </rPh>
    <rPh sb="22" eb="24">
      <t>カゼイ</t>
    </rPh>
    <rPh sb="30" eb="32">
      <t>テキヨウ</t>
    </rPh>
    <phoneticPr fontId="2"/>
  </si>
  <si>
    <t>D</t>
    <phoneticPr fontId="2"/>
  </si>
  <si>
    <t>どりらもあり</t>
    <phoneticPr fontId="2"/>
  </si>
  <si>
    <t>退職あり</t>
    <rPh sb="0" eb="2">
      <t>タイショク</t>
    </rPh>
    <phoneticPr fontId="2"/>
  </si>
  <si>
    <t>山林あり</t>
    <rPh sb="0" eb="2">
      <t>サンリン</t>
    </rPh>
    <phoneticPr fontId="2"/>
  </si>
  <si>
    <t>課税総所得金額ー人的控除差調整額がゼロ未満かつ山林があるまたは退職がある</t>
    <rPh sb="0" eb="7">
      <t>カゼイソウショトクキンガク</t>
    </rPh>
    <rPh sb="8" eb="10">
      <t>ジンテキ</t>
    </rPh>
    <rPh sb="10" eb="12">
      <t>コウジョ</t>
    </rPh>
    <rPh sb="12" eb="13">
      <t>サ</t>
    </rPh>
    <rPh sb="13" eb="15">
      <t>チョウセイ</t>
    </rPh>
    <rPh sb="15" eb="16">
      <t>ガク</t>
    </rPh>
    <rPh sb="19" eb="21">
      <t>ミマン</t>
    </rPh>
    <rPh sb="23" eb="25">
      <t>サンリン</t>
    </rPh>
    <rPh sb="31" eb="33">
      <t>タイショク</t>
    </rPh>
    <phoneticPr fontId="2"/>
  </si>
  <si>
    <t>C</t>
    <phoneticPr fontId="2"/>
  </si>
  <si>
    <t>B</t>
    <phoneticPr fontId="2"/>
  </si>
  <si>
    <t>4000万円~</t>
    <rPh sb="4" eb="6">
      <t>マンエン</t>
    </rPh>
    <phoneticPr fontId="2"/>
  </si>
  <si>
    <t>~4000万円</t>
    <rPh sb="5" eb="7">
      <t>マンエン</t>
    </rPh>
    <phoneticPr fontId="2"/>
  </si>
  <si>
    <t>~1800万円</t>
    <rPh sb="5" eb="7">
      <t>マンエン</t>
    </rPh>
    <phoneticPr fontId="2"/>
  </si>
  <si>
    <t>~900万円</t>
    <rPh sb="4" eb="6">
      <t>マンエン</t>
    </rPh>
    <phoneticPr fontId="2"/>
  </si>
  <si>
    <t>特例控除の控除率</t>
    <rPh sb="0" eb="2">
      <t>トクレイ</t>
    </rPh>
    <rPh sb="2" eb="4">
      <t>コウジョ</t>
    </rPh>
    <rPh sb="5" eb="7">
      <t>コウジョ</t>
    </rPh>
    <rPh sb="7" eb="8">
      <t>リツ</t>
    </rPh>
    <phoneticPr fontId="2"/>
  </si>
  <si>
    <t>~695万円</t>
    <rPh sb="4" eb="6">
      <t>マンエン</t>
    </rPh>
    <phoneticPr fontId="2"/>
  </si>
  <si>
    <t>ケース分岐</t>
    <rPh sb="3" eb="5">
      <t>ブンキ</t>
    </rPh>
    <phoneticPr fontId="2"/>
  </si>
  <si>
    <t>~330万円</t>
    <rPh sb="4" eb="6">
      <t>マンエン</t>
    </rPh>
    <phoneticPr fontId="2"/>
  </si>
  <si>
    <t>(寄付ー2,000)*(100%ー10%ー(所得税率*1.021))　※上限：調整控除後の住民税所得割額の20%</t>
    <rPh sb="22" eb="24">
      <t>ショトク</t>
    </rPh>
    <rPh sb="24" eb="26">
      <t>ゼイリツ</t>
    </rPh>
    <rPh sb="36" eb="38">
      <t>ジョウゲン</t>
    </rPh>
    <rPh sb="39" eb="41">
      <t>チョウセイ</t>
    </rPh>
    <rPh sb="41" eb="43">
      <t>コウジョ</t>
    </rPh>
    <rPh sb="43" eb="44">
      <t>ゴ</t>
    </rPh>
    <rPh sb="45" eb="48">
      <t>ジュウミンゼイ</t>
    </rPh>
    <rPh sb="48" eb="50">
      <t>ショトク</t>
    </rPh>
    <rPh sb="50" eb="51">
      <t>ワリ</t>
    </rPh>
    <rPh sb="51" eb="52">
      <t>ガク</t>
    </rPh>
    <phoneticPr fontId="2"/>
  </si>
  <si>
    <t>+</t>
    <phoneticPr fontId="2"/>
  </si>
  <si>
    <t>~195万円</t>
    <rPh sb="4" eb="6">
      <t>マンエン</t>
    </rPh>
    <phoneticPr fontId="2"/>
  </si>
  <si>
    <t>(寄付ー2,000)*10％　※上限：総所得金額等の30%</t>
    <rPh sb="16" eb="18">
      <t>ジョウゲン</t>
    </rPh>
    <rPh sb="19" eb="25">
      <t>ソウショトクキンガクトウ</t>
    </rPh>
    <phoneticPr fontId="2"/>
  </si>
  <si>
    <t>=</t>
    <phoneticPr fontId="2"/>
  </si>
  <si>
    <t>復興考慮後</t>
    <rPh sb="0" eb="2">
      <t>フッコウ</t>
    </rPh>
    <rPh sb="2" eb="4">
      <t>コウリョ</t>
    </rPh>
    <rPh sb="4" eb="5">
      <t>ゴ</t>
    </rPh>
    <phoneticPr fontId="2"/>
  </si>
  <si>
    <t>課税総所得金額ー人的控除差調整額がゼロ以上</t>
    <rPh sb="0" eb="2">
      <t>カゼイ</t>
    </rPh>
    <rPh sb="2" eb="5">
      <t>ソウショトク</t>
    </rPh>
    <rPh sb="5" eb="7">
      <t>キンガク</t>
    </rPh>
    <rPh sb="8" eb="10">
      <t>ジンテキ</t>
    </rPh>
    <rPh sb="10" eb="12">
      <t>コウジョ</t>
    </rPh>
    <rPh sb="12" eb="13">
      <t>サ</t>
    </rPh>
    <rPh sb="13" eb="15">
      <t>チョウセイ</t>
    </rPh>
    <rPh sb="15" eb="16">
      <t>ガク</t>
    </rPh>
    <rPh sb="19" eb="21">
      <t>イジョウ</t>
    </rPh>
    <phoneticPr fontId="2"/>
  </si>
  <si>
    <t>A</t>
    <phoneticPr fontId="2"/>
  </si>
  <si>
    <t>(寄付ー2,000)*(所得税率*1.021)　※上限：総所得金額等の40%</t>
    <rPh sb="25" eb="27">
      <t>ジョウゲン</t>
    </rPh>
    <rPh sb="28" eb="31">
      <t>ソウショトク</t>
    </rPh>
    <rPh sb="31" eb="33">
      <t>キンガク</t>
    </rPh>
    <rPh sb="33" eb="34">
      <t>トウ</t>
    </rPh>
    <phoneticPr fontId="2"/>
  </si>
  <si>
    <t>＝</t>
    <phoneticPr fontId="2"/>
  </si>
  <si>
    <t>寄付控除</t>
    <rPh sb="0" eb="2">
      <t>キフ</t>
    </rPh>
    <rPh sb="2" eb="4">
      <t>コウジョ</t>
    </rPh>
    <phoneticPr fontId="2"/>
  </si>
  <si>
    <t>■入力/参照</t>
    <phoneticPr fontId="2"/>
  </si>
  <si>
    <t>人的控除差調整ベースの特例率f（標準：90%-所得税率×1.021）</t>
    <phoneticPr fontId="2"/>
  </si>
  <si>
    <t>（参考）ワンストップ特例の特例率f_ws（=90%固定）</t>
    <phoneticPr fontId="2"/>
  </si>
  <si>
    <t>X_cap20（確定申告・標準）</t>
    <phoneticPr fontId="2"/>
  </si>
  <si>
    <t>■上限の理論式（特例分の20%上限に達する寄附額X）</t>
    <phoneticPr fontId="2"/>
  </si>
  <si>
    <t>X_cap20_ws（ワンストップ特例）</t>
    <phoneticPr fontId="2"/>
  </si>
  <si>
    <t>■法定の金額側上限（寄附金額の総枠）</t>
    <phoneticPr fontId="2"/>
  </si>
  <si>
    <t>所得税側の対象上限（総所得等の40%）</t>
    <phoneticPr fontId="2"/>
  </si>
  <si>
    <t>住民税側の対象上限（総所得等の30%）</t>
    <phoneticPr fontId="2"/>
  </si>
  <si>
    <t>■最終上限（推奨）</t>
    <phoneticPr fontId="2"/>
  </si>
  <si>
    <t>確定申告を行う場合の上限（min(X_cap20, 30%枠, 40%枠)）</t>
    <phoneticPr fontId="2"/>
  </si>
  <si>
    <t>ワンストップ特例の上限（min(X_cap20_ws, 30%枠)）</t>
    <phoneticPr fontId="2"/>
  </si>
  <si>
    <t>差引所得税額</t>
    <phoneticPr fontId="2"/>
  </si>
  <si>
    <t>課税所得に対する税額</t>
    <phoneticPr fontId="2"/>
  </si>
  <si>
    <t>配偶者特別控除</t>
    <phoneticPr fontId="2"/>
  </si>
  <si>
    <t>基礎控除</t>
    <phoneticPr fontId="2"/>
  </si>
  <si>
    <t>特例控除</t>
    <rPh sb="0" eb="2">
      <t>トクレイ</t>
    </rPh>
    <rPh sb="2" eb="4">
      <t>コウジョ</t>
    </rPh>
    <phoneticPr fontId="2"/>
  </si>
  <si>
    <t>短期</t>
    <rPh sb="0" eb="2">
      <t>タンキ</t>
    </rPh>
    <phoneticPr fontId="2"/>
  </si>
  <si>
    <t>一般</t>
    <rPh sb="0" eb="2">
      <t>イッパン</t>
    </rPh>
    <phoneticPr fontId="2"/>
  </si>
  <si>
    <t>軽減</t>
    <rPh sb="0" eb="2">
      <t>ケイゲン</t>
    </rPh>
    <phoneticPr fontId="2"/>
  </si>
  <si>
    <t>長期</t>
    <rPh sb="0" eb="2">
      <t>チョウキ</t>
    </rPh>
    <phoneticPr fontId="2"/>
  </si>
  <si>
    <t>一般株式等の譲渡</t>
    <rPh sb="0" eb="2">
      <t>イッパン</t>
    </rPh>
    <rPh sb="2" eb="4">
      <t>カブシキ</t>
    </rPh>
    <rPh sb="4" eb="5">
      <t>トウ</t>
    </rPh>
    <rPh sb="6" eb="8">
      <t>ジョウト</t>
    </rPh>
    <phoneticPr fontId="2"/>
  </si>
  <si>
    <t>上場株式等の譲渡</t>
    <rPh sb="0" eb="2">
      <t>ジョウジョウ</t>
    </rPh>
    <rPh sb="2" eb="4">
      <t>カブシキ</t>
    </rPh>
    <rPh sb="4" eb="5">
      <t>トウ</t>
    </rPh>
    <rPh sb="6" eb="8">
      <t>ジョウト</t>
    </rPh>
    <phoneticPr fontId="2"/>
  </si>
  <si>
    <t>上場株式等の配当等</t>
    <rPh sb="0" eb="2">
      <t>ジョウジョウ</t>
    </rPh>
    <rPh sb="2" eb="4">
      <t>カブシキ</t>
    </rPh>
    <rPh sb="4" eb="5">
      <t>トウ</t>
    </rPh>
    <rPh sb="6" eb="8">
      <t>ハイトウ</t>
    </rPh>
    <rPh sb="8" eb="9">
      <t>トウ</t>
    </rPh>
    <phoneticPr fontId="2"/>
  </si>
  <si>
    <t>先物取引</t>
    <rPh sb="0" eb="2">
      <t>サキモノ</t>
    </rPh>
    <rPh sb="2" eb="4">
      <t>トリヒキ</t>
    </rPh>
    <phoneticPr fontId="2"/>
  </si>
  <si>
    <t>山林</t>
    <rPh sb="0" eb="2">
      <t>サンリン</t>
    </rPh>
    <phoneticPr fontId="2"/>
  </si>
  <si>
    <t>退職</t>
    <rPh sb="0" eb="2">
      <t>タイショク</t>
    </rPh>
    <phoneticPr fontId="2"/>
  </si>
  <si>
    <t>特定　2000万円以下</t>
    <rPh sb="0" eb="2">
      <t>トクテイ</t>
    </rPh>
    <rPh sb="7" eb="11">
      <t>マンエンイカ</t>
    </rPh>
    <phoneticPr fontId="2"/>
  </si>
  <si>
    <t>特定　2000万円超</t>
    <rPh sb="0" eb="2">
      <t>トクテイ</t>
    </rPh>
    <rPh sb="7" eb="10">
      <t>マンエンチョウ</t>
    </rPh>
    <phoneticPr fontId="2"/>
  </si>
  <si>
    <t>軽課　6000万円以下</t>
    <rPh sb="0" eb="1">
      <t>ケイ</t>
    </rPh>
    <rPh sb="1" eb="2">
      <t>カ</t>
    </rPh>
    <rPh sb="7" eb="11">
      <t>マンエンイカ</t>
    </rPh>
    <phoneticPr fontId="2"/>
  </si>
  <si>
    <t>軽課　6000万円超</t>
    <rPh sb="0" eb="1">
      <t>ケイ</t>
    </rPh>
    <rPh sb="1" eb="2">
      <t>カ</t>
    </rPh>
    <rPh sb="7" eb="10">
      <t>マンエンチョウ</t>
    </rPh>
    <phoneticPr fontId="2"/>
  </si>
  <si>
    <t>住民税 所得割額（税額控除**後** 合計）</t>
    <rPh sb="15" eb="16">
      <t>ゴ</t>
    </rPh>
    <phoneticPr fontId="2"/>
  </si>
  <si>
    <t>　　　　　ワンストップ特例なし</t>
    <rPh sb="11" eb="13">
      <t>トクレイ</t>
    </rPh>
    <phoneticPr fontId="2"/>
  </si>
  <si>
    <t>　　　　　ワンストップ特例あり</t>
    <rPh sb="11" eb="13">
      <t>トクレイ</t>
    </rPh>
    <phoneticPr fontId="2"/>
  </si>
  <si>
    <t>寄付前①</t>
    <rPh sb="0" eb="3">
      <t>キフマエ</t>
    </rPh>
    <phoneticPr fontId="2"/>
  </si>
  <si>
    <t>寄付後②</t>
    <rPh sb="0" eb="3">
      <t>キフゴ</t>
    </rPh>
    <phoneticPr fontId="2"/>
  </si>
  <si>
    <t>差額(①－②)</t>
    <rPh sb="0" eb="2">
      <t>サガク</t>
    </rPh>
    <phoneticPr fontId="2"/>
  </si>
  <si>
    <t>寄付した額</t>
    <rPh sb="0" eb="2">
      <t>キフ</t>
    </rPh>
    <rPh sb="4" eb="5">
      <t>ガク</t>
    </rPh>
    <phoneticPr fontId="2"/>
  </si>
  <si>
    <t>総合課税の合計額</t>
    <rPh sb="0" eb="4">
      <t>ソウゴウカゼイ</t>
    </rPh>
    <rPh sb="5" eb="8">
      <t>ゴウケイガク</t>
    </rPh>
    <phoneticPr fontId="2"/>
  </si>
  <si>
    <t>所得控除額</t>
    <rPh sb="0" eb="5">
      <t>ショトクコウジョガク</t>
    </rPh>
    <phoneticPr fontId="2"/>
  </si>
  <si>
    <t>分離課税所得</t>
    <rPh sb="0" eb="6">
      <t>ブンリカゼイショトク</t>
    </rPh>
    <phoneticPr fontId="2"/>
  </si>
  <si>
    <t>短期譲渡</t>
    <rPh sb="0" eb="4">
      <t>タンキジョウト</t>
    </rPh>
    <phoneticPr fontId="2"/>
  </si>
  <si>
    <t>長期譲渡</t>
    <rPh sb="0" eb="4">
      <t>チョウキジョウト</t>
    </rPh>
    <phoneticPr fontId="2"/>
  </si>
  <si>
    <t>税　額</t>
    <rPh sb="0" eb="1">
      <t>ゼイ</t>
    </rPh>
    <rPh sb="2" eb="3">
      <t>ガク</t>
    </rPh>
    <phoneticPr fontId="2"/>
  </si>
  <si>
    <t>総合課税(累進税率)</t>
    <rPh sb="0" eb="4">
      <t>ソウゴウカゼイ</t>
    </rPh>
    <rPh sb="5" eb="9">
      <t>ルイシンゼイリツ</t>
    </rPh>
    <phoneticPr fontId="2"/>
  </si>
  <si>
    <t>短期譲渡(30%)</t>
    <rPh sb="0" eb="4">
      <t>タンキジョウト</t>
    </rPh>
    <phoneticPr fontId="2"/>
  </si>
  <si>
    <t>長期譲渡(15%)</t>
    <rPh sb="0" eb="4">
      <t>チョウキジョウト</t>
    </rPh>
    <phoneticPr fontId="2"/>
  </si>
  <si>
    <t>合　計</t>
    <rPh sb="0" eb="1">
      <t>ゴウ</t>
    </rPh>
    <rPh sb="2" eb="3">
      <t>ケイ</t>
    </rPh>
    <phoneticPr fontId="2"/>
  </si>
  <si>
    <t>所得税の節税額</t>
    <rPh sb="0" eb="3">
      <t>ショトクゼイ</t>
    </rPh>
    <rPh sb="4" eb="7">
      <t>セツゼイガク</t>
    </rPh>
    <phoneticPr fontId="2"/>
  </si>
  <si>
    <t>所得税の節税額ゼロ</t>
    <rPh sb="0" eb="3">
      <t>ショトクゼイ</t>
    </rPh>
    <rPh sb="4" eb="7">
      <t>セツゼイガク</t>
    </rPh>
    <phoneticPr fontId="2"/>
  </si>
  <si>
    <t>総合課税の合計額</t>
  </si>
  <si>
    <t>所得控除額</t>
  </si>
  <si>
    <t>人的控除差</t>
    <rPh sb="0" eb="5">
      <t>ジンテキコウジョサ</t>
    </rPh>
    <phoneticPr fontId="2"/>
  </si>
  <si>
    <t>分離課税所得</t>
  </si>
  <si>
    <t>算出所得税額</t>
    <rPh sb="0" eb="6">
      <t>サンシュツショトクゼイガク</t>
    </rPh>
    <phoneticPr fontId="2"/>
  </si>
  <si>
    <t>総合課税(10%)</t>
    <phoneticPr fontId="2"/>
  </si>
  <si>
    <t>短期譲渡(9%)</t>
    <phoneticPr fontId="2"/>
  </si>
  <si>
    <t>長期譲渡(5%)</t>
    <phoneticPr fontId="2"/>
  </si>
  <si>
    <t>調整控除額</t>
    <rPh sb="0" eb="5">
      <t>チョウセイコウジョガク</t>
    </rPh>
    <phoneticPr fontId="2"/>
  </si>
  <si>
    <t>調整控除後所得割額</t>
    <rPh sb="0" eb="5">
      <t>チョウセイコウジョゴ</t>
    </rPh>
    <rPh sb="5" eb="9">
      <t>ショトクワリガク</t>
    </rPh>
    <phoneticPr fontId="2"/>
  </si>
  <si>
    <t>控除額</t>
    <rPh sb="0" eb="3">
      <t>コウジョガク</t>
    </rPh>
    <phoneticPr fontId="2"/>
  </si>
  <si>
    <t>基本控除額</t>
    <rPh sb="0" eb="5">
      <t>キホンコウジョガク</t>
    </rPh>
    <phoneticPr fontId="2"/>
  </si>
  <si>
    <t>特例控除額</t>
    <rPh sb="0" eb="5">
      <t>トクレイコウジョガク</t>
    </rPh>
    <phoneticPr fontId="2"/>
  </si>
  <si>
    <t>合　計</t>
    <phoneticPr fontId="2"/>
  </si>
  <si>
    <t>住民税の節税額</t>
    <rPh sb="0" eb="3">
      <t>ジュウミンゼイ</t>
    </rPh>
    <rPh sb="4" eb="7">
      <t>セツゼイガク</t>
    </rPh>
    <phoneticPr fontId="2"/>
  </si>
  <si>
    <t>申告特例控除額</t>
    <rPh sb="0" eb="7">
      <t>シンコクトクレイコウジョガク</t>
    </rPh>
    <phoneticPr fontId="2"/>
  </si>
  <si>
    <t>所得税＋住民税</t>
    <rPh sb="0" eb="3">
      <t>ショトクゼイ</t>
    </rPh>
    <rPh sb="4" eb="7">
      <t>ジュウミンゼイ</t>
    </rPh>
    <phoneticPr fontId="2"/>
  </si>
  <si>
    <t>所得税＋住民税の節税額</t>
    <rPh sb="0" eb="3">
      <t>ショトクゼイ</t>
    </rPh>
    <rPh sb="4" eb="7">
      <t>ジュウミンゼイ</t>
    </rPh>
    <rPh sb="8" eb="11">
      <t>セツゼイガク</t>
    </rPh>
    <phoneticPr fontId="2"/>
  </si>
  <si>
    <t>申告特例控除額</t>
    <rPh sb="0" eb="2">
      <t>シンコク</t>
    </rPh>
    <rPh sb="2" eb="4">
      <t>トクレイ</t>
    </rPh>
    <rPh sb="4" eb="6">
      <t>コウジョ</t>
    </rPh>
    <rPh sb="6" eb="7">
      <t>ガク</t>
    </rPh>
    <phoneticPr fontId="2"/>
  </si>
  <si>
    <t>INDEX(マスター!$D$3:$D$9,MATCH(1,(P41&gt;=マスター!$A$3:$A$9)*(P41&lt;=IF(マスター!$C$3:$C$9="",1E+99,マスター!$C$3:$C$9)),0))</t>
  </si>
  <si>
    <t>特定親族特別控除</t>
    <rPh sb="0" eb="2">
      <t>トクテイ</t>
    </rPh>
    <rPh sb="2" eb="4">
      <t>シンゾク</t>
    </rPh>
    <rPh sb="4" eb="6">
      <t>トクベツ</t>
    </rPh>
    <rPh sb="6" eb="8">
      <t>コウジョ</t>
    </rPh>
    <phoneticPr fontId="2"/>
  </si>
  <si>
    <t>令和7年度新設　親族等の合計所得金額(58万円超123万円以下)を入力</t>
    <rPh sb="0" eb="2">
      <t>レイワ</t>
    </rPh>
    <rPh sb="3" eb="4">
      <t>ネン</t>
    </rPh>
    <rPh sb="4" eb="5">
      <t>ド</t>
    </rPh>
    <rPh sb="5" eb="7">
      <t>シンセツ</t>
    </rPh>
    <rPh sb="8" eb="10">
      <t>シンゾク</t>
    </rPh>
    <rPh sb="10" eb="11">
      <t>トウ</t>
    </rPh>
    <rPh sb="12" eb="14">
      <t>ゴウケイ</t>
    </rPh>
    <rPh sb="14" eb="16">
      <t>ショトク</t>
    </rPh>
    <rPh sb="16" eb="18">
      <t>キンガク</t>
    </rPh>
    <rPh sb="21" eb="23">
      <t>マンエン</t>
    </rPh>
    <rPh sb="23" eb="24">
      <t>チョウ</t>
    </rPh>
    <rPh sb="27" eb="29">
      <t>マンエン</t>
    </rPh>
    <rPh sb="29" eb="31">
      <t>イカ</t>
    </rPh>
    <rPh sb="33" eb="35">
      <t>ニュウリョク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</si>
</sst>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000_);[Red]\(0.0000\)"/>
    <numFmt numFmtId="178" formatCode="0.000%"/>
    <numFmt numFmtId="179" formatCode="0.0%"/>
  </numFmts>
  <fonts count="6"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b/>
      <sz val="12"/>
      <color theme="1"/>
      <name val="游ゴシック"/>
      <family val="3"/>
      <charset val="128"/>
      <scheme val="minor"/>
    </font>
    <font>
      <b/>
      <sz val="11"/>
      <color rgb="FFFF0000"/>
      <name val="游ゴシック"/>
      <family val="3"/>
      <charset val="128"/>
      <scheme val="minor"/>
    </font>
  </fonts>
  <fills count="5">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s>
  <cellStyleXfs count="5">
    <xf numFmtId="0" fontId="0" fillId="0" borderId="0">
      <alignment vertical="center"/>
    </xf>
    <xf numFmtId="38" fontId="1" fillId="0" borderId="0">
      <alignment vertical="center"/>
    </xf>
    <xf numFmtId="9" fontId="1" fillId="0" borderId="0">
      <alignment vertical="center"/>
    </xf>
    <xf numFmtId="0" fontId="3" fillId="0" borderId="0" applyNumberFormat="0" applyFill="0" applyBorder="0" applyAlignment="0" applyProtection="0">
      <alignment vertical="center"/>
    </xf>
    <xf numFmtId="38" fontId="1" fillId="0" borderId="0" applyFont="0" applyFill="0" applyBorder="0" applyAlignment="0" applyProtection="0">
      <alignment vertical="center"/>
    </xf>
  </cellStyleXfs>
  <cellXfs count="84">
    <xf numFmtId="0" fontId="0" fillId="0" borderId="0" xfId="0">
      <alignment vertical="center"/>
    </xf>
    <xf numFmtId="9" fontId="0" fillId="0" borderId="0" xfId="2" applyFont="1">
      <alignment vertical="center"/>
    </xf>
    <xf numFmtId="0" fontId="0" fillId="0" borderId="0" xfId="0" applyAlignment="1"/>
    <xf numFmtId="38" fontId="1" fillId="0" borderId="0" xfId="1">
      <alignment vertical="center"/>
    </xf>
    <xf numFmtId="9" fontId="1" fillId="0" borderId="0" xfId="2">
      <alignment vertical="center"/>
    </xf>
    <xf numFmtId="38" fontId="0" fillId="0" borderId="0" xfId="0" applyNumberFormat="1">
      <alignment vertical="center"/>
    </xf>
    <xf numFmtId="0" fontId="0" fillId="3" borderId="0" xfId="0" applyFill="1">
      <alignment vertical="center"/>
    </xf>
    <xf numFmtId="0" fontId="0" fillId="2" borderId="0" xfId="0" applyFill="1">
      <alignment vertical="center"/>
    </xf>
    <xf numFmtId="0" fontId="0" fillId="4" borderId="0" xfId="0" applyFill="1">
      <alignment vertical="center"/>
    </xf>
    <xf numFmtId="176" fontId="0" fillId="0" borderId="0" xfId="0" applyNumberFormat="1" applyAlignment="1"/>
    <xf numFmtId="176" fontId="0" fillId="0" borderId="0" xfId="1" applyNumberFormat="1" applyFont="1">
      <alignment vertical="center"/>
    </xf>
    <xf numFmtId="177" fontId="0" fillId="0" borderId="0" xfId="0" applyNumberFormat="1" applyAlignment="1"/>
    <xf numFmtId="38" fontId="1" fillId="3" borderId="0" xfId="1" applyFill="1">
      <alignment vertical="center"/>
    </xf>
    <xf numFmtId="178" fontId="1" fillId="0" borderId="0" xfId="2" applyNumberFormat="1">
      <alignment vertical="center"/>
    </xf>
    <xf numFmtId="1" fontId="0" fillId="0" borderId="0" xfId="0" applyNumberFormat="1">
      <alignment vertical="center"/>
    </xf>
    <xf numFmtId="0" fontId="0" fillId="0" borderId="0" xfId="0" applyAlignment="1">
      <alignment vertical="center" wrapText="1"/>
    </xf>
    <xf numFmtId="38" fontId="1" fillId="0" borderId="0" xfId="1" applyAlignment="1">
      <alignment vertical="center" wrapText="1"/>
    </xf>
    <xf numFmtId="0" fontId="3" fillId="0" borderId="0" xfId="3">
      <alignment vertical="center"/>
    </xf>
    <xf numFmtId="178" fontId="0" fillId="0" borderId="0" xfId="0" applyNumberFormat="1">
      <alignment vertical="center"/>
    </xf>
    <xf numFmtId="179" fontId="0" fillId="0" borderId="0" xfId="2" applyNumberFormat="1" applyFont="1">
      <alignment vertical="center"/>
    </xf>
    <xf numFmtId="0" fontId="4" fillId="0" borderId="0" xfId="0" applyFont="1">
      <alignment vertical="center"/>
    </xf>
    <xf numFmtId="0" fontId="0" fillId="0" borderId="0" xfId="0" applyAlignment="1">
      <alignment horizontal="center" vertical="center"/>
    </xf>
    <xf numFmtId="0" fontId="0" fillId="0" borderId="6" xfId="0" applyBorder="1">
      <alignment vertical="center"/>
    </xf>
    <xf numFmtId="0" fontId="0" fillId="0" borderId="7" xfId="0" applyBorder="1">
      <alignment vertical="center"/>
    </xf>
    <xf numFmtId="38" fontId="0" fillId="0" borderId="7" xfId="4" applyFont="1" applyBorder="1">
      <alignment vertical="center"/>
    </xf>
    <xf numFmtId="38" fontId="0" fillId="3" borderId="8" xfId="4" applyFont="1" applyFill="1" applyBorder="1">
      <alignment vertical="center"/>
    </xf>
    <xf numFmtId="38" fontId="0" fillId="0" borderId="1" xfId="4" applyFont="1" applyBorder="1">
      <alignment vertical="center"/>
    </xf>
    <xf numFmtId="38" fontId="0" fillId="0" borderId="0" xfId="4" applyFont="1">
      <alignment vertical="center"/>
    </xf>
    <xf numFmtId="0" fontId="0" fillId="0" borderId="3" xfId="0" applyBorder="1">
      <alignment vertical="center"/>
    </xf>
    <xf numFmtId="38" fontId="0" fillId="3" borderId="3" xfId="4" applyFont="1" applyFill="1" applyBorder="1">
      <alignment vertical="center"/>
    </xf>
    <xf numFmtId="38" fontId="0" fillId="0" borderId="0" xfId="4" applyFont="1" applyBorder="1">
      <alignment vertical="center"/>
    </xf>
    <xf numFmtId="38" fontId="0" fillId="0" borderId="3" xfId="4" applyFont="1" applyBorder="1">
      <alignment vertical="center"/>
    </xf>
    <xf numFmtId="38" fontId="0" fillId="3" borderId="7" xfId="4" applyFont="1" applyFill="1" applyBorder="1">
      <alignment vertical="center"/>
    </xf>
    <xf numFmtId="38" fontId="0" fillId="0" borderId="8" xfId="4" applyFont="1" applyBorder="1">
      <alignment vertical="center"/>
    </xf>
    <xf numFmtId="38" fontId="0" fillId="3" borderId="4" xfId="4" applyFont="1" applyFill="1" applyBorder="1">
      <alignment vertical="center"/>
    </xf>
    <xf numFmtId="38" fontId="0" fillId="3" borderId="2" xfId="4" applyFont="1" applyFill="1" applyBorder="1">
      <alignment vertical="center"/>
    </xf>
    <xf numFmtId="0" fontId="0" fillId="0" borderId="10" xfId="0" applyBorder="1">
      <alignment vertical="center"/>
    </xf>
    <xf numFmtId="38" fontId="0" fillId="0" borderId="2" xfId="4" applyFont="1" applyBorder="1">
      <alignment vertical="center"/>
    </xf>
    <xf numFmtId="38" fontId="0" fillId="0" borderId="10" xfId="4" applyFont="1" applyBorder="1">
      <alignment vertical="center"/>
    </xf>
    <xf numFmtId="0" fontId="0" fillId="0" borderId="6" xfId="0" applyBorder="1" applyAlignment="1">
      <alignment horizontal="center" vertical="center"/>
    </xf>
    <xf numFmtId="38" fontId="5" fillId="0" borderId="0" xfId="4" applyFont="1">
      <alignment vertical="center"/>
    </xf>
    <xf numFmtId="0" fontId="0" fillId="0" borderId="5" xfId="0" applyBorder="1">
      <alignment vertical="center"/>
    </xf>
    <xf numFmtId="0" fontId="0" fillId="0" borderId="12" xfId="0" applyBorder="1">
      <alignment vertical="center"/>
    </xf>
    <xf numFmtId="38" fontId="0" fillId="0" borderId="12" xfId="4" applyFont="1" applyBorder="1">
      <alignment vertical="center"/>
    </xf>
    <xf numFmtId="38" fontId="0" fillId="3" borderId="1" xfId="4" applyFont="1" applyFill="1" applyBorder="1">
      <alignment vertical="center"/>
    </xf>
    <xf numFmtId="0" fontId="0" fillId="0" borderId="2" xfId="0" applyBorder="1">
      <alignment vertical="center"/>
    </xf>
    <xf numFmtId="38" fontId="0" fillId="0" borderId="13" xfId="4" applyFont="1" applyBorder="1">
      <alignment vertical="center"/>
    </xf>
    <xf numFmtId="0" fontId="0" fillId="0" borderId="1" xfId="0" applyBorder="1" applyAlignment="1">
      <alignment horizontal="center" vertical="center"/>
    </xf>
    <xf numFmtId="0" fontId="0" fillId="0" borderId="9" xfId="0" applyBorder="1" applyAlignment="1">
      <alignment horizontal="left" vertical="center"/>
    </xf>
    <xf numFmtId="0" fontId="0" fillId="0" borderId="13" xfId="0" applyBorder="1" applyAlignment="1">
      <alignment horizontal="center" vertical="center"/>
    </xf>
    <xf numFmtId="0" fontId="0" fillId="0" borderId="6" xfId="0" applyBorder="1" applyAlignment="1">
      <alignment horizontal="left" vertical="center"/>
    </xf>
    <xf numFmtId="0" fontId="0" fillId="0" borderId="7" xfId="0" applyBorder="1" applyAlignment="1">
      <alignment horizontal="center" vertical="center"/>
    </xf>
    <xf numFmtId="0" fontId="0" fillId="0" borderId="13" xfId="0" applyBorder="1">
      <alignment vertical="center"/>
    </xf>
    <xf numFmtId="0" fontId="0" fillId="0" borderId="13" xfId="0" applyBorder="1" applyAlignment="1">
      <alignment horizontal="left" vertical="center"/>
    </xf>
    <xf numFmtId="0" fontId="0" fillId="0" borderId="8" xfId="0" applyBorder="1">
      <alignment vertical="center"/>
    </xf>
    <xf numFmtId="38" fontId="0" fillId="0" borderId="6" xfId="4" applyFont="1" applyBorder="1">
      <alignment vertical="center"/>
    </xf>
    <xf numFmtId="38" fontId="0" fillId="0" borderId="2" xfId="0" applyNumberFormat="1" applyBorder="1">
      <alignment vertical="center"/>
    </xf>
    <xf numFmtId="38" fontId="0" fillId="0" borderId="5" xfId="4" applyFont="1" applyBorder="1">
      <alignment vertical="center"/>
    </xf>
    <xf numFmtId="38" fontId="0" fillId="0" borderId="9" xfId="4" applyFont="1" applyBorder="1">
      <alignment vertical="center"/>
    </xf>
    <xf numFmtId="38" fontId="1" fillId="0" borderId="1" xfId="1" applyBorder="1">
      <alignment vertical="center"/>
    </xf>
    <xf numFmtId="38" fontId="1" fillId="0" borderId="2" xfId="1" applyBorder="1">
      <alignment vertical="center"/>
    </xf>
    <xf numFmtId="38" fontId="1" fillId="0" borderId="4" xfId="1" applyBorder="1">
      <alignment vertical="center"/>
    </xf>
    <xf numFmtId="38" fontId="1" fillId="0" borderId="3" xfId="1" applyBorder="1">
      <alignment vertical="center"/>
    </xf>
    <xf numFmtId="38" fontId="0" fillId="0" borderId="3" xfId="0" applyNumberFormat="1" applyBorder="1">
      <alignment vertical="center"/>
    </xf>
    <xf numFmtId="40" fontId="1" fillId="0" borderId="0" xfId="1" applyNumberFormat="1">
      <alignment vertical="center"/>
    </xf>
    <xf numFmtId="38" fontId="0" fillId="0" borderId="7" xfId="4" applyFont="1" applyFill="1" applyBorder="1">
      <alignment vertical="center"/>
    </xf>
    <xf numFmtId="38" fontId="1" fillId="0" borderId="1" xfId="1" applyBorder="1" applyAlignment="1">
      <alignment horizontal="center" vertical="center" textRotation="255"/>
    </xf>
    <xf numFmtId="38" fontId="1" fillId="0" borderId="2" xfId="1" applyBorder="1" applyAlignment="1">
      <alignment horizontal="center" vertical="center" textRotation="255"/>
    </xf>
    <xf numFmtId="38" fontId="1" fillId="0" borderId="3" xfId="1" applyBorder="1" applyAlignment="1">
      <alignment horizontal="center" vertical="center" textRotation="255"/>
    </xf>
    <xf numFmtId="38" fontId="1" fillId="0" borderId="4" xfId="1" applyBorder="1" applyAlignment="1">
      <alignment horizontal="center" vertical="center" textRotation="255"/>
    </xf>
    <xf numFmtId="0" fontId="0" fillId="0" borderId="5" xfId="0" applyBorder="1" applyAlignment="1">
      <alignment vertical="center" textRotation="255"/>
    </xf>
    <xf numFmtId="0" fontId="0" fillId="0" borderId="9" xfId="0" applyBorder="1" applyAlignment="1">
      <alignment vertical="center" textRotation="255"/>
    </xf>
    <xf numFmtId="0" fontId="0" fillId="0" borderId="11" xfId="0" applyBorder="1" applyAlignment="1">
      <alignment vertical="center" textRotation="255"/>
    </xf>
    <xf numFmtId="0" fontId="0" fillId="0" borderId="2" xfId="0" applyBorder="1" applyAlignment="1">
      <alignment vertical="center" textRotation="255"/>
    </xf>
    <xf numFmtId="0" fontId="0" fillId="0" borderId="3" xfId="0" applyBorder="1" applyAlignment="1">
      <alignment vertical="center" textRotation="255"/>
    </xf>
    <xf numFmtId="0" fontId="0" fillId="0" borderId="4" xfId="0" applyBorder="1">
      <alignment vertical="center"/>
    </xf>
    <xf numFmtId="0" fontId="0" fillId="0" borderId="9" xfId="0" applyBorder="1">
      <alignment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3" xfId="0" applyBorder="1">
      <alignment vertical="center"/>
    </xf>
  </cellXfs>
  <cellStyles count="5">
    <cellStyle name="パーセント" xfId="2" builtinId="5"/>
    <cellStyle name="ハイパーリンク" xfId="3" builtinId="8"/>
    <cellStyle name="桁区切り" xfId="1" builtinId="6"/>
    <cellStyle name="桁区切り 2" xfId="4" xr:uid="{E8A64E58-88A8-4E46-91CB-CD734CBDF575}"/>
    <cellStyle name="標準" xfId="0" builtinId="0"/>
  </cellStyles>
  <dxfs count="1">
    <dxf>
      <fill>
        <patternFill patternType="solid">
          <fgColor rgb="FFFFFF00"/>
          <bgColor theme="3" tint="0.899960325937681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556260</xdr:colOff>
      <xdr:row>3</xdr:row>
      <xdr:rowOff>7620</xdr:rowOff>
    </xdr:from>
    <xdr:to>
      <xdr:col>7</xdr:col>
      <xdr:colOff>495300</xdr:colOff>
      <xdr:row>3</xdr:row>
      <xdr:rowOff>53339</xdr:rowOff>
    </xdr:to>
    <xdr:sp macro="" textlink="">
      <xdr:nvSpPr>
        <xdr:cNvPr id="2" name="右中かっこ 1">
          <a:extLst>
            <a:ext uri="{FF2B5EF4-FFF2-40B4-BE49-F238E27FC236}">
              <a16:creationId xmlns:a16="http://schemas.microsoft.com/office/drawing/2014/main" id="{8B0AE494-1A4D-4831-948E-B789AF6179E2}"/>
            </a:ext>
          </a:extLst>
        </xdr:cNvPr>
        <xdr:cNvSpPr/>
      </xdr:nvSpPr>
      <xdr:spPr>
        <a:xfrm rot="5400000">
          <a:off x="4861560" y="411480"/>
          <a:ext cx="45719" cy="609600"/>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312419</xdr:colOff>
      <xdr:row>3</xdr:row>
      <xdr:rowOff>213361</xdr:rowOff>
    </xdr:from>
    <xdr:to>
      <xdr:col>8</xdr:col>
      <xdr:colOff>289562</xdr:colOff>
      <xdr:row>4</xdr:row>
      <xdr:rowOff>53340</xdr:rowOff>
    </xdr:to>
    <xdr:sp macro="" textlink="">
      <xdr:nvSpPr>
        <xdr:cNvPr id="3" name="右中かっこ 2">
          <a:extLst>
            <a:ext uri="{FF2B5EF4-FFF2-40B4-BE49-F238E27FC236}">
              <a16:creationId xmlns:a16="http://schemas.microsoft.com/office/drawing/2014/main" id="{5EFDB2D4-F61F-420E-89B9-58A86110D90F}"/>
            </a:ext>
          </a:extLst>
        </xdr:cNvPr>
        <xdr:cNvSpPr/>
      </xdr:nvSpPr>
      <xdr:spPr>
        <a:xfrm rot="5400000">
          <a:off x="4625341" y="-60961"/>
          <a:ext cx="68579" cy="1988823"/>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Q39"/>
  <sheetViews>
    <sheetView topLeftCell="A7" zoomScale="85" zoomScaleNormal="85" workbookViewId="0">
      <selection activeCell="J18" sqref="J18"/>
    </sheetView>
  </sheetViews>
  <sheetFormatPr defaultRowHeight="18" x14ac:dyDescent="0.45"/>
  <cols>
    <col min="1" max="1" width="33.8984375" style="2" bestFit="1" customWidth="1"/>
    <col min="3" max="4" width="15" style="3" bestFit="1" customWidth="1"/>
    <col min="8" max="8" width="24.09765625" style="2" bestFit="1" customWidth="1"/>
    <col min="9" max="9" width="20.19921875" style="2" bestFit="1" customWidth="1"/>
    <col min="10" max="10" width="10" style="3" bestFit="1" customWidth="1"/>
    <col min="11" max="11" width="9.3984375" style="3" bestFit="1" customWidth="1"/>
  </cols>
  <sheetData>
    <row r="1" spans="1:17" x14ac:dyDescent="0.45">
      <c r="A1" s="2" t="s">
        <v>86</v>
      </c>
      <c r="C1" s="3" t="s">
        <v>0</v>
      </c>
      <c r="D1" s="3" t="s">
        <v>1</v>
      </c>
      <c r="J1" s="3" t="s">
        <v>0</v>
      </c>
      <c r="K1" s="3" t="s">
        <v>1</v>
      </c>
    </row>
    <row r="2" spans="1:17" x14ac:dyDescent="0.45">
      <c r="A2" s="2" t="s">
        <v>87</v>
      </c>
      <c r="C2" s="3">
        <v>12202436</v>
      </c>
      <c r="D2" s="12">
        <v>5000000</v>
      </c>
      <c r="H2" t="s">
        <v>2</v>
      </c>
      <c r="J2" s="3">
        <v>703890</v>
      </c>
      <c r="K2" s="12">
        <v>630000</v>
      </c>
      <c r="P2" s="6"/>
      <c r="Q2" t="s">
        <v>3</v>
      </c>
    </row>
    <row r="3" spans="1:17" x14ac:dyDescent="0.45">
      <c r="A3" s="2" t="s">
        <v>88</v>
      </c>
      <c r="H3" t="s">
        <v>6</v>
      </c>
      <c r="P3" s="7"/>
      <c r="Q3" t="s">
        <v>7</v>
      </c>
    </row>
    <row r="4" spans="1:17" x14ac:dyDescent="0.45">
      <c r="A4" s="2" t="s">
        <v>89</v>
      </c>
      <c r="H4" t="s">
        <v>9</v>
      </c>
      <c r="P4" s="8"/>
      <c r="Q4" t="s">
        <v>10</v>
      </c>
    </row>
    <row r="5" spans="1:17" x14ac:dyDescent="0.45">
      <c r="A5" s="2" t="s">
        <v>90</v>
      </c>
      <c r="H5" t="s">
        <v>12</v>
      </c>
    </row>
    <row r="6" spans="1:17" x14ac:dyDescent="0.45">
      <c r="A6" s="2" t="s">
        <v>91</v>
      </c>
      <c r="C6" s="3">
        <v>550000</v>
      </c>
      <c r="H6" t="s">
        <v>14</v>
      </c>
      <c r="J6" s="3" t="s">
        <v>15</v>
      </c>
      <c r="K6" s="3" t="s">
        <v>15</v>
      </c>
    </row>
    <row r="7" spans="1:17" x14ac:dyDescent="0.45">
      <c r="A7" s="2" t="s">
        <v>92</v>
      </c>
      <c r="C7" s="3">
        <v>1078634</v>
      </c>
      <c r="H7" t="s">
        <v>17</v>
      </c>
      <c r="J7" s="3" t="s">
        <v>15</v>
      </c>
      <c r="K7" s="3" t="s">
        <v>15</v>
      </c>
    </row>
    <row r="8" spans="1:17" x14ac:dyDescent="0.45">
      <c r="A8" s="2" t="s">
        <v>93</v>
      </c>
      <c r="H8" t="s">
        <v>19</v>
      </c>
      <c r="J8" s="3" t="s">
        <v>15</v>
      </c>
      <c r="K8" s="3" t="s">
        <v>15</v>
      </c>
    </row>
    <row r="9" spans="1:17" x14ac:dyDescent="0.45">
      <c r="A9" s="2" t="s">
        <v>94</v>
      </c>
      <c r="H9" t="s">
        <v>21</v>
      </c>
      <c r="I9" t="s">
        <v>22</v>
      </c>
      <c r="M9" t="s">
        <v>23</v>
      </c>
    </row>
    <row r="10" spans="1:17" x14ac:dyDescent="0.45">
      <c r="A10" s="2" t="s">
        <v>95</v>
      </c>
      <c r="I10" t="s">
        <v>25</v>
      </c>
    </row>
    <row r="11" spans="1:17" x14ac:dyDescent="0.45">
      <c r="A11" s="2" t="s">
        <v>96</v>
      </c>
      <c r="I11" t="s">
        <v>27</v>
      </c>
    </row>
    <row r="12" spans="1:17" x14ac:dyDescent="0.45">
      <c r="A12" s="2" t="s">
        <v>85</v>
      </c>
      <c r="H12" t="s">
        <v>29</v>
      </c>
      <c r="J12" s="3" t="s">
        <v>5</v>
      </c>
      <c r="K12" s="3" t="s">
        <v>15</v>
      </c>
    </row>
    <row r="13" spans="1:17" x14ac:dyDescent="0.45">
      <c r="A13" t="s">
        <v>102</v>
      </c>
      <c r="B13" t="s">
        <v>5</v>
      </c>
      <c r="D13" s="12"/>
      <c r="H13" t="s">
        <v>31</v>
      </c>
      <c r="M13" t="s">
        <v>32</v>
      </c>
    </row>
    <row r="14" spans="1:17" x14ac:dyDescent="0.45">
      <c r="B14" t="s">
        <v>8</v>
      </c>
      <c r="H14" t="s">
        <v>33</v>
      </c>
      <c r="I14" t="s">
        <v>5</v>
      </c>
      <c r="M14" t="s">
        <v>23</v>
      </c>
    </row>
    <row r="15" spans="1:17" x14ac:dyDescent="0.45">
      <c r="A15" t="s">
        <v>103</v>
      </c>
      <c r="B15" t="s">
        <v>5</v>
      </c>
      <c r="D15" s="12"/>
      <c r="I15" t="s">
        <v>34</v>
      </c>
    </row>
    <row r="16" spans="1:17" x14ac:dyDescent="0.45">
      <c r="B16" t="s">
        <v>13</v>
      </c>
      <c r="I16" t="s">
        <v>35</v>
      </c>
    </row>
    <row r="17" spans="1:13" x14ac:dyDescent="0.45">
      <c r="B17" t="s">
        <v>16</v>
      </c>
      <c r="I17" t="s">
        <v>36</v>
      </c>
    </row>
    <row r="18" spans="1:13" x14ac:dyDescent="0.45">
      <c r="A18" t="s">
        <v>18</v>
      </c>
      <c r="H18" s="2" t="s">
        <v>287</v>
      </c>
      <c r="K18" s="3">
        <v>1000000</v>
      </c>
      <c r="M18" t="s">
        <v>288</v>
      </c>
    </row>
    <row r="19" spans="1:13" x14ac:dyDescent="0.45">
      <c r="A19" t="s">
        <v>20</v>
      </c>
      <c r="H19" t="s">
        <v>37</v>
      </c>
    </row>
    <row r="20" spans="1:13" x14ac:dyDescent="0.45">
      <c r="A20" t="s">
        <v>24</v>
      </c>
      <c r="H20" t="s">
        <v>38</v>
      </c>
      <c r="J20" s="3">
        <v>134037</v>
      </c>
    </row>
    <row r="21" spans="1:13" x14ac:dyDescent="0.45">
      <c r="A21" t="s">
        <v>26</v>
      </c>
      <c r="H21" t="s">
        <v>164</v>
      </c>
      <c r="I21" t="s">
        <v>165</v>
      </c>
      <c r="J21" s="3">
        <v>13000</v>
      </c>
      <c r="M21" t="s">
        <v>40</v>
      </c>
    </row>
    <row r="22" spans="1:13" x14ac:dyDescent="0.45">
      <c r="A22" t="s">
        <v>28</v>
      </c>
      <c r="I22" t="s">
        <v>166</v>
      </c>
      <c r="J22" s="3">
        <v>448000</v>
      </c>
      <c r="K22" s="12">
        <v>48000</v>
      </c>
    </row>
    <row r="23" spans="1:13" x14ac:dyDescent="0.45">
      <c r="A23" t="s">
        <v>30</v>
      </c>
      <c r="H23" t="s">
        <v>167</v>
      </c>
      <c r="I23" t="s">
        <v>168</v>
      </c>
    </row>
    <row r="24" spans="1:13" x14ac:dyDescent="0.45">
      <c r="I24" t="s">
        <v>169</v>
      </c>
      <c r="J24" s="3">
        <v>13000</v>
      </c>
    </row>
    <row r="25" spans="1:13" x14ac:dyDescent="0.45">
      <c r="A25"/>
      <c r="I25" t="s">
        <v>170</v>
      </c>
    </row>
    <row r="27" spans="1:13" x14ac:dyDescent="0.45">
      <c r="A27"/>
      <c r="I27" t="s">
        <v>171</v>
      </c>
    </row>
    <row r="28" spans="1:13" x14ac:dyDescent="0.45">
      <c r="I28" t="s">
        <v>172</v>
      </c>
    </row>
    <row r="30" spans="1:13" x14ac:dyDescent="0.45">
      <c r="H30" t="s">
        <v>173</v>
      </c>
      <c r="J30" s="3">
        <f>SUM(J22,J27,J28)</f>
        <v>448000</v>
      </c>
      <c r="K30" s="3">
        <f>SUM(K22,K27,K28)</f>
        <v>48000</v>
      </c>
    </row>
    <row r="31" spans="1:13" x14ac:dyDescent="0.45">
      <c r="H31" t="s">
        <v>174</v>
      </c>
      <c r="J31" s="3">
        <f>J22</f>
        <v>448000</v>
      </c>
      <c r="K31" s="3">
        <f>K22</f>
        <v>48000</v>
      </c>
    </row>
    <row r="33" spans="8:11" x14ac:dyDescent="0.45">
      <c r="H33" t="s">
        <v>175</v>
      </c>
      <c r="J33" s="3" t="b">
        <v>1</v>
      </c>
      <c r="K33" s="3" t="b">
        <v>0</v>
      </c>
    </row>
    <row r="34" spans="8:11" x14ac:dyDescent="0.45">
      <c r="H34" t="s">
        <v>176</v>
      </c>
      <c r="J34" s="3">
        <v>10</v>
      </c>
      <c r="K34" s="3">
        <v>1</v>
      </c>
    </row>
    <row r="35" spans="8:11" x14ac:dyDescent="0.45">
      <c r="H35" t="s">
        <v>177</v>
      </c>
      <c r="J35" s="3" t="b">
        <v>1</v>
      </c>
      <c r="K35" s="3" t="b">
        <v>0</v>
      </c>
    </row>
    <row r="37" spans="8:11" x14ac:dyDescent="0.45">
      <c r="H37" s="2" t="s">
        <v>122</v>
      </c>
    </row>
    <row r="39" spans="8:11" x14ac:dyDescent="0.45">
      <c r="H39" s="2" t="s">
        <v>125</v>
      </c>
    </row>
  </sheetData>
  <phoneticPr fontId="2"/>
  <dataValidations count="3">
    <dataValidation type="list" allowBlank="1" showInputMessage="1" showErrorMessage="1" sqref="J6:K8" xr:uid="{00000000-0002-0000-0000-000000000000}">
      <formula1>"〇,×"</formula1>
    </dataValidation>
    <dataValidation type="list" allowBlank="1" showInputMessage="1" showErrorMessage="1" sqref="J12:K12" xr:uid="{00000000-0002-0000-0000-000001000000}">
      <formula1>"一般,老人,×"</formula1>
    </dataValidation>
    <dataValidation type="list" allowBlank="1" showInputMessage="1" showErrorMessage="1" sqref="J35:K35 J33:K33" xr:uid="{00000000-0002-0000-0000-000002000000}">
      <formula1>"TRUE, FALSE"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G69"/>
  <sheetViews>
    <sheetView tabSelected="1" topLeftCell="M1" zoomScale="85" zoomScaleNormal="85" workbookViewId="0">
      <selection activeCell="S18" sqref="S18"/>
    </sheetView>
  </sheetViews>
  <sheetFormatPr defaultRowHeight="18" x14ac:dyDescent="0.45"/>
  <cols>
    <col min="1" max="1" width="13.19921875" bestFit="1" customWidth="1"/>
    <col min="2" max="2" width="13.19921875" customWidth="1"/>
    <col min="3" max="3" width="12" style="3" bestFit="1" customWidth="1"/>
    <col min="4" max="4" width="4" style="3" customWidth="1"/>
    <col min="5" max="5" width="20.3984375" style="3" customWidth="1"/>
    <col min="6" max="6" width="4" style="3" customWidth="1"/>
    <col min="7" max="7" width="20.3984375" style="3" customWidth="1"/>
    <col min="8" max="8" width="4" style="3" customWidth="1"/>
    <col min="9" max="10" width="20.3984375" style="3" customWidth="1"/>
    <col min="12" max="12" width="19.3984375" bestFit="1" customWidth="1"/>
    <col min="13" max="13" width="22.19921875" style="2" bestFit="1" customWidth="1"/>
    <col min="14" max="14" width="20.19921875" style="2" bestFit="1" customWidth="1"/>
    <col min="15" max="15" width="11.5" style="3" bestFit="1" customWidth="1"/>
    <col min="16" max="17" width="10.3984375" style="3" bestFit="1" customWidth="1"/>
    <col min="20" max="20" width="20.19921875" style="3" customWidth="1"/>
    <col min="21" max="21" width="14.09765625" style="3" customWidth="1"/>
    <col min="22" max="22" width="10.69921875" style="3" customWidth="1"/>
    <col min="23" max="23" width="10.3984375" style="3" customWidth="1"/>
    <col min="24" max="24" width="10.296875" style="3" customWidth="1"/>
    <col min="25" max="25" width="8.796875" customWidth="1"/>
    <col min="26" max="26" width="39.796875" style="3" customWidth="1"/>
    <col min="27" max="27" width="10.296875" style="3" customWidth="1"/>
    <col min="28" max="28" width="10.3984375" style="3" customWidth="1"/>
    <col min="29" max="29" width="8.796875" style="4" customWidth="1"/>
    <col min="30" max="30" width="15.19921875" style="3" bestFit="1" customWidth="1"/>
  </cols>
  <sheetData>
    <row r="1" spans="1:33" x14ac:dyDescent="0.45">
      <c r="A1" t="s">
        <v>68</v>
      </c>
      <c r="T1" s="3" t="s">
        <v>83</v>
      </c>
    </row>
    <row r="4" spans="1:33" x14ac:dyDescent="0.45">
      <c r="A4" t="s">
        <v>97</v>
      </c>
      <c r="L4" t="s">
        <v>69</v>
      </c>
    </row>
    <row r="5" spans="1:33" x14ac:dyDescent="0.45">
      <c r="O5" s="3" t="s">
        <v>0</v>
      </c>
      <c r="P5" s="3" t="s">
        <v>1</v>
      </c>
      <c r="Q5" s="3" t="s">
        <v>129</v>
      </c>
      <c r="V5" s="3" t="s">
        <v>0</v>
      </c>
      <c r="W5" s="3" t="s">
        <v>1</v>
      </c>
      <c r="X5" s="3" t="s">
        <v>129</v>
      </c>
      <c r="Z5"/>
      <c r="AA5" s="3" t="s">
        <v>0</v>
      </c>
      <c r="AB5" s="3" t="s">
        <v>1</v>
      </c>
      <c r="AD5" s="3" t="s">
        <v>55</v>
      </c>
      <c r="AE5" s="3"/>
    </row>
    <row r="6" spans="1:33" x14ac:dyDescent="0.45">
      <c r="A6" t="s">
        <v>112</v>
      </c>
      <c r="L6" t="s">
        <v>42</v>
      </c>
      <c r="M6" t="s">
        <v>72</v>
      </c>
      <c r="O6" s="3">
        <f>SUM(J13:J16)</f>
        <v>13831070</v>
      </c>
      <c r="P6" s="3">
        <f>SUM(J40:J43)</f>
        <v>5000000</v>
      </c>
      <c r="Q6" s="3">
        <f>SUM(J40:J43)</f>
        <v>5000000</v>
      </c>
      <c r="T6" t="s">
        <v>43</v>
      </c>
      <c r="V6" s="3" t="b">
        <v>0</v>
      </c>
      <c r="W6" s="3" t="b">
        <v>0</v>
      </c>
      <c r="X6" s="3" t="b">
        <v>0</v>
      </c>
      <c r="Z6" t="s">
        <v>44</v>
      </c>
      <c r="AA6" s="3">
        <f>SUM(O6,O38,O39)</f>
        <v>13831070</v>
      </c>
      <c r="AB6" s="3">
        <f>SUM(P6,P38,P39)</f>
        <v>5000000</v>
      </c>
      <c r="AD6" s="3" t="s">
        <v>56</v>
      </c>
      <c r="AE6" s="3">
        <f>Q67-P67</f>
        <v>7760</v>
      </c>
      <c r="AF6" s="3"/>
    </row>
    <row r="7" spans="1:33" x14ac:dyDescent="0.45">
      <c r="A7" t="s">
        <v>107</v>
      </c>
      <c r="C7" s="3" t="s">
        <v>108</v>
      </c>
      <c r="E7" s="3" t="s">
        <v>109</v>
      </c>
      <c r="G7" s="3" t="s">
        <v>110</v>
      </c>
      <c r="I7" s="3" t="s">
        <v>111</v>
      </c>
      <c r="T7" t="s">
        <v>178</v>
      </c>
      <c r="V7" s="3">
        <f>IF(ROUNDDOWN(AA6-AA24,-3)&lt;0,0,ROUNDDOWN(AA6-AA24,-3))</f>
        <v>12563000</v>
      </c>
      <c r="W7" s="3">
        <f>IF(ROUNDDOWN(AB6-AB24,-3)&lt;0,0,ROUNDDOWN(AB6-AB24,-3))</f>
        <v>3530000</v>
      </c>
      <c r="X7" s="3">
        <f>IF(ROUNDDOWN(AB6-AB24,-3)&lt;0,0,ROUNDDOWN(AB6-AB24,-3))</f>
        <v>3530000</v>
      </c>
      <c r="Z7"/>
      <c r="AD7" s="3" t="s">
        <v>59</v>
      </c>
      <c r="AE7" s="3">
        <f>W38</f>
        <v>41305</v>
      </c>
      <c r="AF7" s="3"/>
    </row>
    <row r="8" spans="1:33" x14ac:dyDescent="0.45">
      <c r="A8" t="s">
        <v>104</v>
      </c>
      <c r="C8" s="3">
        <f>インプット表!C10</f>
        <v>0</v>
      </c>
      <c r="E8" s="3">
        <f>_xlfn.LET(
 _xlpm.st,C8, _xlpm.lt,C9,
 _xlpm.pre_st, IF(_xlpm.st*_xlpm.lt&lt;0, IF(ABS(_xlpm.st)&gt;=ABS(_xlpm.lt), _xlpm.st+_xlpm.lt, 0), _xlpm.st),
 _xlpm.pre_st
)</f>
        <v>0</v>
      </c>
      <c r="G8" s="3">
        <f>_xlfn.LET(
 _xlpm.ps, MAX(0,E8),
 MIN(500000, _xlpm.ps)
)</f>
        <v>0</v>
      </c>
      <c r="I8" s="3">
        <f>_xlfn.LET(
  _xlpm.short_init, E8 - G8,
  _xlpm.long_init,  E9 - G9,
  _xlpm.one_init,   MAX(0, E10 - G10),
  _xlpm.need_short, MAX(0, -_xlpm.short_init),
  _xlpm.use_long_for_short, MIN(MAX(0, _xlpm.long_init), _xlpm.need_short),
  _xlpm.rem_need_short, _xlpm.need_short - _xlpm.use_long_for_short,
  _xlpm.use_one_for_short,  MIN(_xlpm.one_init, _xlpm.rem_need_short),
  _xlpm.need_long, MAX(0, -_xlpm.long_init),
  _xlpm.use_short_for_long, MIN(MAX(0, _xlpm.short_init), _xlpm.need_long),
  _xlpm.rem_need_long, _xlpm.need_long - _xlpm.use_short_for_long,
  _xlpm.use_one_for_long,  MIN(_xlpm.one_init, _xlpm.rem_need_long),
  _xlpm.short_after, IF(_xlpm.short_init&lt;0,
                  _xlpm.short_init + _xlpm.use_long_for_short + _xlpm.use_one_for_short,
                  IF(_xlpm.long_init&lt;0,
                     _xlpm.short_init - _xlpm.use_short_for_long,
                     _xlpm.short_init
                  )
               ),
  _xlpm.short_after
)</f>
        <v>0</v>
      </c>
      <c r="L8" t="s">
        <v>52</v>
      </c>
      <c r="M8" t="s">
        <v>2</v>
      </c>
      <c r="O8" s="3">
        <f>インプット表!J2</f>
        <v>703890</v>
      </c>
      <c r="P8" s="3">
        <f>インプット表!K2</f>
        <v>630000</v>
      </c>
      <c r="Q8" s="3">
        <f>インプット表!K2</f>
        <v>630000</v>
      </c>
      <c r="T8" t="s">
        <v>179</v>
      </c>
      <c r="V8" s="3">
        <f>インプット表!J30</f>
        <v>448000</v>
      </c>
      <c r="W8" s="3">
        <f>インプット表!K30</f>
        <v>48000</v>
      </c>
      <c r="X8" s="3">
        <v>0</v>
      </c>
      <c r="Z8" t="s">
        <v>2</v>
      </c>
      <c r="AA8" s="3">
        <f t="shared" ref="AA8:AB11" si="0">O8</f>
        <v>703890</v>
      </c>
      <c r="AB8" s="3">
        <f t="shared" si="0"/>
        <v>630000</v>
      </c>
      <c r="AD8" s="3" t="s">
        <v>48</v>
      </c>
      <c r="AE8" s="3">
        <f>SUM(AE6:AE7)</f>
        <v>49065</v>
      </c>
      <c r="AF8" s="3"/>
      <c r="AG8" s="5"/>
    </row>
    <row r="9" spans="1:33" x14ac:dyDescent="0.45">
      <c r="A9" t="s">
        <v>105</v>
      </c>
      <c r="C9" s="3">
        <f>インプット表!C11</f>
        <v>0</v>
      </c>
      <c r="E9" s="3">
        <f>_xlfn.LET(
 _xlpm.st,C8, _xlpm.lt,C9,
 _xlpm.pre_lt, IF(_xlpm.st*_xlpm.lt&lt;0, IF(ABS(_xlpm.lt)&gt;ABS(_xlpm.st), _xlpm.st+_xlpm.lt, 0), _xlpm.lt),
 _xlpm.pre_lt
)</f>
        <v>0</v>
      </c>
      <c r="G9" s="3">
        <f>_xlfn.LET(
 _xlpm.ps, MAX(0,E8),
 _xlpm.pl, MAX(0,E9),
 _xlpm.pool, 500000 - MIN(500000, _xlpm.ps),
 MIN(_xlpm.pool, _xlpm.pl)
)</f>
        <v>0</v>
      </c>
      <c r="I9" s="3">
        <f>_xlfn.LET(
  _xlpm.short_init, E8 - G8,
  _xlpm.long_init,  E9 - G9,
  _xlpm.one_init,   MAX(0, E10 - G10),
  _xlpm.need_short, MAX(0, -_xlpm.short_init),
  _xlpm.use_long_for_short, MIN(MAX(0, _xlpm.long_init), _xlpm.need_short),
  _xlpm.need_long, MAX(0, -_xlpm.long_init),
  _xlpm.use_short_for_long, MIN(MAX(0, _xlpm.short_init), _xlpm.need_long),
  _xlpm.rem_need_long, _xlpm.need_long - _xlpm.use_short_for_long,
  _xlpm.use_one_for_long,  MIN(_xlpm.one_init, _xlpm.rem_need_long),
  _xlpm.long_after, IF(_xlpm.short_init&lt;0,
                 _xlpm.long_init - _xlpm.use_long_for_short,
                 IF(_xlpm.long_init&lt;0,
                    _xlpm.long_init + _xlpm.use_short_for_long + _xlpm.use_one_for_long,
                    _xlpm.long_init
                 )
              ),
  _xlpm.long_after
)</f>
        <v>0</v>
      </c>
      <c r="M9" t="s">
        <v>6</v>
      </c>
      <c r="O9" s="3">
        <f>インプット表!J3</f>
        <v>0</v>
      </c>
      <c r="P9" s="3">
        <f>インプット表!K3</f>
        <v>0</v>
      </c>
      <c r="Q9" s="3">
        <f>インプット表!K3</f>
        <v>0</v>
      </c>
      <c r="T9" t="s">
        <v>180</v>
      </c>
      <c r="V9" s="3">
        <f>インプット表!J22</f>
        <v>448000</v>
      </c>
      <c r="W9" s="3">
        <f>インプット表!K22</f>
        <v>48000</v>
      </c>
      <c r="X9" s="3">
        <v>0</v>
      </c>
      <c r="Z9" t="s">
        <v>6</v>
      </c>
      <c r="AA9" s="3">
        <f t="shared" si="0"/>
        <v>0</v>
      </c>
      <c r="AB9" s="3">
        <f t="shared" si="0"/>
        <v>0</v>
      </c>
    </row>
    <row r="10" spans="1:33" x14ac:dyDescent="0.45">
      <c r="A10" t="s">
        <v>106</v>
      </c>
      <c r="C10" s="3">
        <f>IF(インプット表!C12&lt;0,0,インプット表!C12)</f>
        <v>0</v>
      </c>
      <c r="E10" s="3">
        <f>C10</f>
        <v>0</v>
      </c>
      <c r="G10" s="3">
        <f>_xlfn.LET(
 _xlpm.pit, MAX(0,E10),
 MIN(500000, _xlpm.pit)
)</f>
        <v>0</v>
      </c>
      <c r="I10" s="3">
        <f>_xlfn.LET(
  _xlpm.short_init, E8 - G8,
  _xlpm.long_init,  E9 - G9,
  _xlpm.one_init,   MAX(0, E10 - G10),
  _xlpm.need_short, MAX(0, -_xlpm.short_init),
  _xlpm.use_long_for_short, MIN(MAX(0, _xlpm.long_init), _xlpm.need_short),
  _xlpm.rem_need_short, _xlpm.need_short - _xlpm.use_long_for_short,
  _xlpm.use_one_for_short,  MIN(_xlpm.one_init, _xlpm.rem_need_short),
  _xlpm.need_long, MAX(0, -_xlpm.long_init),
  _xlpm.use_short_for_long, MIN(MAX(0, _xlpm.short_init), _xlpm.need_long),
  _xlpm.rem_need_long, _xlpm.need_long - _xlpm.use_short_for_long,
  _xlpm.use_one_for_long,  MIN(_xlpm.one_init, _xlpm.rem_need_long),
  _xlpm.one_after, IF(_xlpm.short_init&lt;0,
                _xlpm.one_init - _xlpm.use_one_for_short,
                IF(_xlpm.long_init&lt;0,
                   _xlpm.one_init - _xlpm.use_one_for_long,
                   _xlpm.one_init
                )
             ),
  MAX(0, _xlpm.one_after)
)</f>
        <v>0</v>
      </c>
      <c r="M10" t="s">
        <v>9</v>
      </c>
      <c r="O10" s="3">
        <f>インプット表!J4</f>
        <v>0</v>
      </c>
      <c r="P10" s="3">
        <f>インプット表!K4</f>
        <v>0</v>
      </c>
      <c r="Q10" s="3">
        <f>インプット表!K4</f>
        <v>0</v>
      </c>
      <c r="T10" t="s">
        <v>181</v>
      </c>
      <c r="Z10" t="s">
        <v>9</v>
      </c>
      <c r="AA10" s="3">
        <f t="shared" si="0"/>
        <v>0</v>
      </c>
      <c r="AB10" s="3">
        <f t="shared" si="0"/>
        <v>0</v>
      </c>
    </row>
    <row r="11" spans="1:33" x14ac:dyDescent="0.45">
      <c r="M11" t="s">
        <v>12</v>
      </c>
      <c r="O11" s="3">
        <f>インプット表!J5</f>
        <v>0</v>
      </c>
      <c r="P11" s="3">
        <f>インプット表!K5</f>
        <v>0</v>
      </c>
      <c r="Q11" s="3">
        <f>インプット表!K5</f>
        <v>0</v>
      </c>
      <c r="U11" t="s">
        <v>45</v>
      </c>
      <c r="V11" s="3">
        <f>V7*IF(V6=TRUE,マスター!$L$4,マスター!$N$4)
  +O29*IF(V6=TRUE,マスター!$L$5,マスター!$N$5)
  +O30*IF(V6=TRUE,マスター!$L$6,マスター!$N$6)
  +O31*IF(V6=TRUE,マスター!$L$7,マスター!$N$7)
  +MIN(O32, 20000000)*IF(V6=TRUE,マスター!$L$8,マスター!$N$8)
  +MAX(O32-20000000, 0)*IF(V6=TRUE,マスター!$L$9,マスター!$N$9)
  +MIN(O33, 60000000)*IF(V6=TRUE,マスター!$L$10,マスター!$N$10)
  +MAX(O33-60000000, 0)*IF(V6=TRUE,マスター!$L$11,マスター!$N$11)
  +O34*IF(V6=TRUE,マスター!$L$12,マスター!$N$12)
  +O35*IF(V6=TRUE,マスター!$L$13,マスター!$N$13)
  +O36*IF(V6=TRUE,マスター!$L$14,マスター!$N$14)
  +O37*IF(V6=TRUE,マスター!$L$15,マスター!$N$15)
  +O38*IF(V6=TRUE,マスター!$L$16,マスター!$N$16)
  +O39*IF(V6=TRUE,マスター!$L$17,マスター!$N$17)</f>
        <v>753780</v>
      </c>
      <c r="W11" s="3">
        <f>W7*IF(W6=TRUE,マスター!$L$4,マスター!$N$4)
  +P29*IF(W6=TRUE,マスター!$L$5,マスター!$N$5)
  +P30*IF(W6=TRUE,マスター!$L$6,マスター!$N$6)
  +P31*IF(W6=TRUE,マスター!$L$7,マスター!$N$7)
  +MIN(P32, 20000000)*IF(W6=TRUE,マスター!$L$8,マスター!$N$8)
  +MAX(P32-20000000, 0)*IF(W6=TRUE,マスター!$L$9,マスター!$N$9)
  +MIN(P33, 60000000)*IF(W6=TRUE,マスター!$L$10,マスター!$N$10)
  +MAX(P33-60000000, 0)*IF(W6=TRUE,マスター!$L$11,マスター!$N$11)
  +P34*IF(W6=TRUE,マスター!$L$12,マスター!$N$12)
  +P35*IF(W6=TRUE,マスター!$L$13,マスター!$N$13)
  +P36*IF(W6=TRUE,マスター!$L$14,マスター!$N$14)
  +P37*IF(W6=TRUE,マスター!$L$15,マスター!$N$15)
  +P38*IF(W6=TRUE,マスター!$L$16,マスター!$N$16)
  +P39*IF(W6=TRUE,マスター!$L$17,マスター!$N$17)</f>
        <v>211800</v>
      </c>
      <c r="X11" s="3">
        <f>X7*IF(X6=TRUE,マスター!$L$4,マスター!$N$4)
  +Q29*IF(X6=TRUE,マスター!$L$5,マスター!$N$5)
  +Q30*IF(X6=TRUE,マスター!$L$6,マスター!$N$6)
  +Q31*IF(X6=TRUE,マスター!$L$7,マスター!$N$7)
  +MIN(Q32, 20000000)*IF(X6=TRUE,マスター!$L$8,マスター!$N$8)
  +MAX(Q32-20000000, 0)*IF(X6=TRUE,マスター!$L$9,マスター!$N$9)
  +MIN(Q33, 60000000)*IF(X6=TRUE,マスター!$L$10,マスター!$N$10)
  +MAX(Q33-60000000, 0)*IF(X6=TRUE,マスター!$L$11,マスター!$N$11)
  +Q34*IF(X6=TRUE,マスター!$L$12,マスター!$N$12)
  +Q35*IF(X6=TRUE,マスター!$L$13,マスター!$N$13)
  +Q36*IF(X6=TRUE,マスター!$L$14,マスター!$N$14)
  +Q37*IF(X6=TRUE,マスター!$L$15,マスター!$N$15)
  +Q38*IF(X6=TRUE,マスター!$L$16,マスター!$N$16)
  +Q39*IF(X6=TRUE,マスター!$L$17,マスター!$N$17)</f>
        <v>211800</v>
      </c>
      <c r="Z11" t="s">
        <v>12</v>
      </c>
      <c r="AA11" s="3">
        <f t="shared" si="0"/>
        <v>0</v>
      </c>
      <c r="AB11" s="3">
        <f>P11</f>
        <v>0</v>
      </c>
    </row>
    <row r="12" spans="1:33" x14ac:dyDescent="0.45">
      <c r="C12" s="3" t="s">
        <v>98</v>
      </c>
      <c r="E12" s="3" t="s">
        <v>99</v>
      </c>
      <c r="G12" s="3" t="s">
        <v>100</v>
      </c>
      <c r="I12" s="3" t="s">
        <v>101</v>
      </c>
      <c r="J12" s="3" t="s">
        <v>71</v>
      </c>
      <c r="M12" t="s">
        <v>14</v>
      </c>
      <c r="O12" s="3">
        <f>IF(AND(インプット表!$J$6="〇",インプット表!$C$25&lt;=5000000),270000,0)</f>
        <v>0</v>
      </c>
      <c r="P12" s="3">
        <f>IF(AND(インプット表!K6="〇",インプット表!$D$25&lt;=5000000),270000,0)</f>
        <v>0</v>
      </c>
      <c r="Q12" s="3">
        <f>IF(AND(インプット表!K6="〇",インプット表!$D$25&lt;=5000000),270000,0)</f>
        <v>0</v>
      </c>
      <c r="U12" t="s">
        <v>46</v>
      </c>
      <c r="V12" s="3">
        <f>V7*IF(V6=TRUE,マスター!$M$4,マスター!$O$4)
  +O29*IF(V6=TRUE,マスター!$M$5,マスター!$O$5)
  +O30*IF(V6=TRUE,マスター!$M$6,マスター!$O$6)
  +O31*IF(V6=TRUE,マスター!$M$7,マスター!$O$7)
  +MIN(O32, 20000000)*IF(V6=TRUE,マスター!$M$8,マスター!$O$8)
  +MAX(O32-20000000, 0)*IF(V6=TRUE,マスター!$M$9,マスター!$O$9)
  +MIN(O33, 60000000)*IF(V6=TRUE,マスター!$M$10,マスター!$O$10)
  +MAX(O33-60000000, 0)*IF(V6=TRUE,マスター!$M$11,マスター!$O$11)
  +O34*IF(V6=TRUE,マスター!$M$12,マスター!$O$12)
  +O35*IF(V6=TRUE,マスター!$M$13,マスター!$O$13)
  +O36*IF(V6=TRUE,マスター!$M$14,マスター!$O$14)
  +O37*IF(V6=TRUE,マスター!$M$15,マスター!$O$15)
  +O38*IF(V6=TRUE,マスター!$M$16,マスター!$O$16)
  +O39*IF(V6=TRUE,マスター!$M$17,マスター!$O$17)</f>
        <v>502520</v>
      </c>
      <c r="W12" s="3">
        <f>W7*IF(W6=TRUE,マスター!$M$4,マスター!$O$4)
  +P29*IF(W6=TRUE,マスター!$M$5,マスター!$O$5)
  +P30*IF(W6=TRUE,マスター!$M$6,マスター!$O$6)
  +P31*IF(W6=TRUE,マスター!$M$7,マスター!$O$7)
  +MIN(P32, 20000000)*IF(W6=TRUE,マスター!$M$8,マスター!$O$8)
  +MAX(P32-20000000, 0)*IF(W6=TRUE,マスター!$M$9,マスター!$O$9)
  +MIN(P33, 60000000)*IF(W6=TRUE,マスター!$M$10,マスター!$O$10)
  +MAX(P33-60000000, 0)*IF(W6=TRUE,マスター!$M$11,マスター!$O$11)
  +P34*IF(W6=TRUE,マスター!$M$12,マスター!$O$12)
  +P35*IF(W6=TRUE,マスター!$M$13,マスター!$O$13)
  +P36*IF(W6=TRUE,マスター!$M$14,マスター!$O$14)
  +P37*IF(W6=TRUE,マスター!$M$15,マスター!$O$15)
  +P38*IF(W6=TRUE,マスター!$M$16,マスター!$O$16)
  +P39*IF(W6=TRUE,マスター!$M$17,マスター!$O$17)</f>
        <v>141200</v>
      </c>
      <c r="X12" s="3">
        <f>X7*IF(X6=TRUE,マスター!$M$4,マスター!$O$4)
  +Q29*IF(X6=TRUE,マスター!$M$5,マスター!$O$5)
  +Q30*IF(X6=TRUE,マスター!$M$6,マスター!$O$6)
  +Q31*IF(X6=TRUE,マスター!$M$7,マスター!$O$7)
  +MIN(Q32, 20000000)*IF(X6=TRUE,マスター!$M$8,マスター!$O$8)
  +MAX(Q32-20000000, 0)*IF(X6=TRUE,マスター!$M$9,マスター!$O$9)
  +MIN(Q33, 60000000)*IF(X6=TRUE,マスター!$M$10,マスター!$O$10)
  +MAX(Q33-60000000, 0)*IF(X6=TRUE,マスター!$M$11,マスター!$O$11)
  +Q34*IF(X6=TRUE,マスター!$M$12,マスター!$O$12)
  +Q35*IF(X6=TRUE,マスター!$M$13,マスター!$O$13)
  +Q36*IF(X6=TRUE,マスター!$M$14,マスター!$O$14)
  +Q37*IF(X6=TRUE,マスター!$M$15,マスター!$O$15)
  +Q38*IF(X6=TRUE,マスター!$M$16,マスター!$O$16)
  +Q39*IF(X6=TRUE,マスター!$M$17,マスター!$O$17)</f>
        <v>141200</v>
      </c>
      <c r="Z12" t="s">
        <v>14</v>
      </c>
      <c r="AA12" s="3">
        <f>IF(AND(インプット表!$J$6="〇",インプット表!$C$25&lt;5000000),260000,0)</f>
        <v>0</v>
      </c>
      <c r="AB12" s="3">
        <f>IF(AND(インプット表!$K$6="〇",インプット表!$D$25&lt;5000000),260000,0)</f>
        <v>0</v>
      </c>
    </row>
    <row r="13" spans="1:33" x14ac:dyDescent="0.45">
      <c r="A13" t="s">
        <v>84</v>
      </c>
      <c r="C13" s="3">
        <f>SUM(インプット表!C2,インプット表!C3,インプット表!C4,IF(インプット表!C5&lt;0,0,インプット表!C5),IF(インプット表!C6&lt;0,0,インプット表!C6),IF(インプット表!C7&lt;0,0,インプット表!C7),IF(インプット表!C8&lt;0,0,インプット表!C8),IF(インプット表!C9&lt;0,0,インプット表!C9))</f>
        <v>13831070</v>
      </c>
      <c r="D13" s="66" t="s">
        <v>113</v>
      </c>
      <c r="E13" s="3">
        <f>_xlfn.LET(
 _xlpm.econ,C13, _xlpm.shortT,C14, _xlpm.longT,C15, _xlpm.oneTime,C16,
 _xlpm.econ_pos,MAX(0,_xlpm.econ),
 _xlpm.lt_neg,MAX(0,-_xlpm.longT),
 _xlpm.st_neg,MAX(0,-_xlpm.shortT),
 _xlpm.use_econ,MIN(_xlpm.econ_pos, _xlpm.lt_neg+_xlpm.st_neg),
 _xlpm.lt_raise,MIN(_xlpm.use_econ, _xlpm.lt_neg),
 _xlpm.st_raise,MIN(_xlpm.use_econ-_xlpm.lt_raise, _xlpm.st_neg),
 _xlpm.econ_after, _xlpm.econ-(_xlpm.lt_raise+_xlpm.st_raise),
 _xlpm.st_after, _xlpm.shortT+_xlpm.st_raise,
 _xlpm.lt_after, _xlpm.longT+_xlpm.lt_raise,
 _xlpm.it_after, _xlpm.oneTime,
 _xlpm.econ_neg,MAX(0,-_xlpm.econ_after),
 _xlpm.use_from_st,MIN(MAX(0,_xlpm.st_after), _xlpm.econ_neg),
 _xlpm.use_from_lt,MIN(MAX(0,_xlpm.lt_after), _xlpm.econ_neg-_xlpm.use_from_st),
 _xlpm.use_from_it,MIN(MAX(0,_xlpm.it_after), _xlpm.econ_neg-_xlpm.use_from_st-_xlpm.use_from_lt),
 _xlpm.econ_after + _xlpm.use_from_st + _xlpm.use_from_lt + _xlpm.use_from_it
)</f>
        <v>13831070</v>
      </c>
      <c r="F13" s="67" t="s">
        <v>114</v>
      </c>
      <c r="G13" s="3">
        <f>_xlfn.LET(
 _xlpm.econ,E13, _xlpm.st,E14, _xlpm.lt,E15, _xlpm.it,E16, _xlpm.forest,E17,
 _xlpm.forest_pos,MAX(0,_xlpm.forest),
 _xlpm.forest_neg,MAX(0,-_xlpm.forest),
 _xlpm.ltNeg,MAX(0,-_xlpm.lt), _xlpm.stNeg,MAX(0,-_xlpm.st), _xlpm.econNeg,MAX(0,-_xlpm.econ),
 _xlpm.ltPos,MAX(0,_xlpm.lt),  _xlpm.stPos,MAX(0,_xlpm.st),  _xlpm.econPos,MAX(0,_xlpm.econ), _xlpm.itPos,MAX(0,_xlpm.it),
 _xlpm.use_lt_pos,  MIN(_xlpm.forest_pos, _xlpm.ltNeg),
 _xlpm.use_st_pos,  MIN(_xlpm.forest_pos-_xlpm.use_lt_pos, _xlpm.stNeg),
 _xlpm.use_econ_pos,MIN(_xlpm.forest_pos-_xlpm.use_lt_pos-_xlpm.use_st_pos, _xlpm.econNeg),
 _xlpm.econ_when_pos, _xlpm.econ + _xlpm.use_econ_pos,
 _xlpm.use_from_econ, MIN(_xlpm.econPos, _xlpm.forest_neg),
 _xlpm.use_from_st,   MIN(_xlpm.stPos,   _xlpm.forest_neg - _xlpm.use_from_econ),
 _xlpm.use_from_lt,   MIN(_xlpm.ltPos,   _xlpm.forest_neg - _xlpm.use_from_econ - _xlpm.use_from_st),
 _xlpm.use_from_it,   MIN(_xlpm.itPos,   _xlpm.forest_neg - _xlpm.use_from_econ - _xlpm.use_from_st - _xlpm.use_from_lt),
 _xlpm.econ_when_neg, _xlpm.econ - _xlpm.use_from_econ,
 IF(_xlpm.forest&gt;=0, _xlpm.econ_when_pos, _xlpm.econ_when_neg)
)</f>
        <v>13831070</v>
      </c>
      <c r="H13" s="67" t="s">
        <v>115</v>
      </c>
      <c r="I13" s="3">
        <f>_xlfn.LET(
 _xlpm.econ,G13, _xlpm.st,G14, _xlpm.lt,G15, _xlpm.it,G16, _xlpm.forest,G17, _xlpm.retire,G18,
 _xlpm.ret_pos,MAX(0,_xlpm.retire),
 _xlpm.neg_lt,MAX(0,-_xlpm.lt), _xlpm.neg_st,MAX(0,-_xlpm.st), _xlpm.neg_econ,MAX(0,-_xlpm.econ), _xlpm.neg_for,MAX(0,-_xlpm.forest),
 _xlpm.use_lt,MIN(_xlpm.ret_pos,_xlpm.neg_lt),
 _xlpm.use_st,MIN(_xlpm.ret_pos-_xlpm.use_lt,_xlpm.neg_st),
 _xlpm.use_econ,MIN(_xlpm.ret_pos-_xlpm.use_lt-_xlpm.use_st,_xlpm.neg_econ),
 _xlpm.use_for,MIN(_xlpm.ret_pos-_xlpm.use_lt-_xlpm.use_st-_xlpm.use_econ,_xlpm.neg_for),
 _xlpm.econ + _xlpm.use_econ
)</f>
        <v>13831070</v>
      </c>
      <c r="J13" s="3">
        <f>I13</f>
        <v>13831070</v>
      </c>
      <c r="M13" t="s">
        <v>17</v>
      </c>
      <c r="O13" s="3">
        <f>IF(AND(インプット表!$J$7="〇",インプット表!$C$25&lt;=5000000),350000,0)</f>
        <v>0</v>
      </c>
      <c r="P13" s="3">
        <f>IF(AND(インプット表!K7="〇",インプット表!$D$25&lt;=5000000),350000,0)</f>
        <v>0</v>
      </c>
      <c r="Q13" s="3">
        <f>IF(AND(インプット表!K7="〇",インプット表!$D$25&lt;=5000000),350000,0)</f>
        <v>0</v>
      </c>
      <c r="T13" t="s">
        <v>182</v>
      </c>
      <c r="Z13" t="s">
        <v>17</v>
      </c>
      <c r="AA13" s="3">
        <f>IF(AND(インプット表!$J$7="〇",インプット表!$C$25&lt;5000000),300000,0)</f>
        <v>0</v>
      </c>
      <c r="AB13" s="3">
        <f>IF(AND(インプット表!$K$7="〇",インプット表!$D$25&lt;5000000),300000,0)</f>
        <v>0</v>
      </c>
    </row>
    <row r="14" spans="1:33" x14ac:dyDescent="0.45">
      <c r="A14" t="s">
        <v>95</v>
      </c>
      <c r="C14" s="3">
        <f>I8</f>
        <v>0</v>
      </c>
      <c r="D14" s="66"/>
      <c r="E14" s="3">
        <f>_xlfn.LET(
 _xlpm.econ,C13, _xlpm.shortT,C14, _xlpm.longT,C15, _xlpm.oneTime,C16,
 _xlpm.econ_pos,MAX(0,_xlpm.econ),
 _xlpm.lt_neg,MAX(0,-_xlpm.longT),
 _xlpm.st_neg,MAX(0,-_xlpm.shortT),
 _xlpm.use_econ,MIN(_xlpm.econ_pos, _xlpm.lt_neg+_xlpm.st_neg),
 _xlpm.lt_raise,MIN(_xlpm.use_econ, _xlpm.lt_neg),
 _xlpm.st_raise,MIN(_xlpm.use_econ-_xlpm.lt_raise, _xlpm.st_neg),
 _xlpm.econ_after, _xlpm.econ-(_xlpm.lt_raise+_xlpm.st_raise),
 _xlpm.st_after, _xlpm.shortT+_xlpm.st_raise,
 _xlpm.econ_neg,MAX(0,-_xlpm.econ_after),
 _xlpm.use_from_st,MIN(MAX(0,_xlpm.st_after), _xlpm.econ_neg),
 _xlpm.st_after - _xlpm.use_from_st
)</f>
        <v>0</v>
      </c>
      <c r="F14" s="68"/>
      <c r="G14" s="3">
        <f>_xlfn.LET(
 _xlpm.econ,E13, _xlpm.st,E14, _xlpm.lt,E15, _xlpm.it,E16, _xlpm.forest,E17,
 _xlpm.forest_pos,MAX(0,_xlpm.forest),
 _xlpm.forest_neg,MAX(0,-_xlpm.forest),
 _xlpm.ltNeg,MAX(0,-_xlpm.lt), _xlpm.stNeg,MAX(0,-_xlpm.st),
 _xlpm.ltPos,MAX(0,_xlpm.lt),  _xlpm.stPos,MAX(0,_xlpm.st), _xlpm.itPos,MAX(0,_xlpm.it), _xlpm.econPos,MAX(0,_xlpm.econ),
 _xlpm.use_lt_pos,  MIN(_xlpm.forest_pos, _xlpm.ltNeg),
 _xlpm.use_st_pos,  MIN(_xlpm.forest_pos-_xlpm.use_lt_pos, _xlpm.stNeg),
 _xlpm.st_when_pos, _xlpm.st + _xlpm.use_st_pos,
 _xlpm.use_from_econ, MIN(_xlpm.econPos, _xlpm.forest_neg),
 _xlpm.use_from_st,   MIN(_xlpm.stPos,   _xlpm.forest_neg - _xlpm.use_from_econ),
 _xlpm.st_when_neg, _xlpm.st - _xlpm.use_from_st,
 IF(_xlpm.forest&gt;=0, _xlpm.st_when_pos, _xlpm.st_when_neg)
)</f>
        <v>0</v>
      </c>
      <c r="H14" s="68"/>
      <c r="I14" s="3">
        <f>_xlfn.LET(
 _xlpm.econ,G13, _xlpm.st,G14, _xlpm.lt,G15, _xlpm.it,G16, _xlpm.forest,G17, _xlpm.retire,G18,
 _xlpm.ret_pos,MAX(0,_xlpm.retire),
 _xlpm.neg_lt,MAX(0,-_xlpm.lt), _xlpm.neg_st,MAX(0,-_xlpm.st), _xlpm.neg_econ,MAX(0,-_xlpm.econ), _xlpm.neg_for,MAX(0,-_xlpm.forest),
 _xlpm.use_lt,MIN(_xlpm.ret_pos,_xlpm.neg_lt),
 _xlpm.use_st,MIN(_xlpm.ret_pos-_xlpm.use_lt,_xlpm.neg_st),
 _xlpm.st + _xlpm.use_st
)</f>
        <v>0</v>
      </c>
      <c r="J14" s="3">
        <f t="shared" ref="J14:J18" si="1">I14</f>
        <v>0</v>
      </c>
      <c r="M14" t="s">
        <v>19</v>
      </c>
      <c r="O14" s="3">
        <f>IF(インプット表!$J$8="〇",270000,0)</f>
        <v>0</v>
      </c>
      <c r="P14" s="3">
        <f>IF(インプット表!K8="〇",270000,0)</f>
        <v>0</v>
      </c>
      <c r="Q14" s="3">
        <f>IF(インプット表!K8="〇",270000,0)</f>
        <v>0</v>
      </c>
      <c r="U14" t="s">
        <v>45</v>
      </c>
      <c r="V14" s="3">
        <f>IF(OR($AA$6&gt;25000000, $V$7&lt;=0), 0,
  _xlfn.LET(
    _xlpm.I, $V$7,
    _xlpm.D, $AA$39 - $AA$38,
    _xlpm.total,
      IF(_xlpm.I&lt;=2000000,
         MIN(_xlpm.D+50000, _xlpm.I) * 0.05,
         MAX( (_xlpm.D +50000 - (_xlpm.I - 2000000)) * 0.05, 2500 )
      ),    _xlpm.total * IF($V$6, 4/5, 3/5)
  )
)</f>
        <v>1500</v>
      </c>
      <c r="W14" s="3">
        <f>IF(W7=0,0,50000*IF(W6=TRUE,マスター!$L$18,マスター!$N$18))</f>
        <v>1500</v>
      </c>
      <c r="X14" s="3">
        <f>IF(X7=0,0,50000*IF(X6=TRUE,マスター!$L$18,マスター!$N$18))</f>
        <v>1500</v>
      </c>
      <c r="Z14" t="s">
        <v>19</v>
      </c>
      <c r="AA14" s="3">
        <f>IF(インプット表!$J$8="〇",260000,0)</f>
        <v>0</v>
      </c>
      <c r="AB14" s="3">
        <f>IF(インプット表!$K$8="〇",260000,0)</f>
        <v>0</v>
      </c>
    </row>
    <row r="15" spans="1:33" x14ac:dyDescent="0.45">
      <c r="A15" t="s">
        <v>96</v>
      </c>
      <c r="C15" s="3">
        <f>I9</f>
        <v>0</v>
      </c>
      <c r="D15" s="66"/>
      <c r="E15" s="3">
        <f>_xlfn.LET(
 _xlpm.econ,C13, _xlpm.shortT,C14, _xlpm.longT,C15, _xlpm.oneTime,C16,
 _xlpm.econ_pos,MAX(0,_xlpm.econ),
 _xlpm.lt_neg,MAX(0,-_xlpm.longT),
 _xlpm.st_neg,MAX(0,-_xlpm.shortT),
 _xlpm.use_econ,MIN(_xlpm.econ_pos, _xlpm.lt_neg+_xlpm.st_neg),
 _xlpm.lt_raise,MIN(_xlpm.use_econ, _xlpm.lt_neg),
 _xlpm.st_raise,MIN(_xlpm.use_econ-_xlpm.lt_raise, _xlpm.st_neg),
 _xlpm.econ_after, _xlpm.econ-(_xlpm.lt_raise+_xlpm.st_raise),
 _xlpm.lt_after, _xlpm.longT+_xlpm.lt_raise,
 _xlpm.econ_neg,MAX(0,-_xlpm.econ_after),
 _xlpm.use_from_st,MIN(MAX(0,_xlpm.shortT+_xlpm.st_raise), _xlpm.econ_neg),
 _xlpm.use_from_lt,MIN(MAX(0,_xlpm.lt_after), _xlpm.econ_neg-_xlpm.use_from_st),
 _xlpm.lt_after - _xlpm.use_from_lt
)</f>
        <v>0</v>
      </c>
      <c r="F15" s="68"/>
      <c r="G15" s="3">
        <f>_xlfn.LET(
 _xlpm.econ,E13, _xlpm.st,E14, _xlpm.lt,E15, _xlpm.it,E16, _xlpm.forest,E17,
 _xlpm.forest_pos,MAX(0,_xlpm.forest),
 _xlpm.forest_neg,MAX(0,-_xlpm.forest),
 _xlpm.ltNeg,MAX(0,-_xlpm.lt), _xlpm.stNeg,MAX(0,-_xlpm.st),
 _xlpm.ltPos,MAX(0,_xlpm.lt),  _xlpm.stPos,MAX(0,_xlpm.st), _xlpm.itPos,MAX(0,_xlpm.it), _xlpm.econPos,MAX(0,_xlpm.econ),
 _xlpm.use_lt_pos,  MIN(_xlpm.forest_pos, _xlpm.ltNeg),
 _xlpm.lt_when_pos, _xlpm.lt + _xlpm.use_lt_pos,
 _xlpm.use_from_econ, MIN(_xlpm.econPos, _xlpm.forest_neg),
 _xlpm.use_from_st,   MIN(_xlpm.stPos,   _xlpm.forest_neg - _xlpm.use_from_econ),
 _xlpm.use_from_lt,   MIN(_xlpm.ltPos,   _xlpm.forest_neg - _xlpm.use_from_econ - _xlpm.use_from_st),
 _xlpm.lt_when_neg, _xlpm.lt - _xlpm.use_from_lt,
 IF(_xlpm.forest&gt;=0, _xlpm.lt_when_pos, _xlpm.lt_when_neg)
)</f>
        <v>0</v>
      </c>
      <c r="H15" s="68"/>
      <c r="I15" s="3">
        <f>_xlfn.LET(
 _xlpm.econ,G13, _xlpm.st,G14, _xlpm.lt,G15, _xlpm.it,G16, _xlpm.forest,G17, _xlpm.retire,G18,
 _xlpm.ret_pos,MAX(0,_xlpm.retire),
 _xlpm.neg_lt,MAX(0,-_xlpm.lt), _xlpm.neg_st,MAX(0,-_xlpm.st), _xlpm.neg_econ,MAX(0,-_xlpm.econ), _xlpm.neg_for,MAX(0,-_xlpm.forest),
 _xlpm.use_lt,MIN(_xlpm.ret_pos,_xlpm.neg_lt),
 _xlpm.lt + _xlpm.use_lt
)</f>
        <v>0</v>
      </c>
      <c r="J15" s="3">
        <f>I15/2</f>
        <v>0</v>
      </c>
      <c r="M15" t="s">
        <v>47</v>
      </c>
      <c r="O15" s="3">
        <f>SUM(インプット表!$J$9*270000,インプット表!$J$10*400000,インプット表!$J$11*750000)</f>
        <v>0</v>
      </c>
      <c r="P15" s="3">
        <f>SUM(インプット表!K9*270000,インプット表!K10*400000,インプット表!K11*750000)</f>
        <v>0</v>
      </c>
      <c r="Q15" s="3">
        <f>SUM(インプット表!K9*270000,インプット表!K10*400000,インプット表!K11*750000)</f>
        <v>0</v>
      </c>
      <c r="U15" t="s">
        <v>46</v>
      </c>
      <c r="V15" s="3">
        <f>IF(OR($AA$6&gt;25000000, $V$7&lt;=0), 0,
  _xlfn.LET(
    _xlpm.I, $V$7,
    _xlpm.D, $AA$39 - $AA$38,
    _xlpm.total,
      IF(_xlpm.I&lt;=2000000,
         MIN(_xlpm.D +50000, _xlpm.I) * 0.05,
         MAX( (_xlpm.D + 50000 - (_xlpm.I - 2000000)) * 0.05, 2500 )
      ),    _xlpm.total * IF($V$6, 1/5, 2/5)
  )
)</f>
        <v>1000</v>
      </c>
      <c r="W15" s="3">
        <f>IF(W7=0,0,50000*IF(W6=TRUE,マスター!$M$18,マスター!$O$18))</f>
        <v>1000</v>
      </c>
      <c r="X15" s="3">
        <f>IF(X7=0,0,50000*IF(X6=TRUE,マスター!$M$18,マスター!$O$18))</f>
        <v>1000</v>
      </c>
      <c r="Z15" t="s">
        <v>47</v>
      </c>
      <c r="AA15" s="3">
        <f>SUM(インプット表!$J$9*260000,インプット表!$J$10*300000,インプット表!$J$11*530000)</f>
        <v>0</v>
      </c>
      <c r="AB15" s="3">
        <f>SUM(インプット表!$K$9*260000,インプット表!$K$10*300000,インプット表!$K$11*530000)</f>
        <v>0</v>
      </c>
    </row>
    <row r="16" spans="1:33" x14ac:dyDescent="0.45">
      <c r="A16" t="s">
        <v>85</v>
      </c>
      <c r="C16" s="3">
        <f t="shared" ref="C16" si="2">I10</f>
        <v>0</v>
      </c>
      <c r="D16" s="66"/>
      <c r="E16" s="3">
        <f>_xlfn.LET(
 _xlpm.econ,C13, _xlpm.shortT,C14, _xlpm.longT,C15, _xlpm.oneTime,C16,
 _xlpm.econ_pos,MAX(0,_xlpm.econ),
 _xlpm.lt_neg,MAX(0,-_xlpm.longT),
 _xlpm.st_neg,MAX(0,-_xlpm.shortT),
 _xlpm.use_econ,MIN(_xlpm.econ_pos, _xlpm.lt_neg+_xlpm.st_neg),
 _xlpm.lt_raise,MIN(_xlpm.use_econ, _xlpm.lt_neg),
 _xlpm.st_raise,MIN(_xlpm.use_econ-_xlpm.lt_raise, _xlpm.st_neg),
 _xlpm.econ_after, _xlpm.econ-(_xlpm.lt_raise+_xlpm.st_raise),
 _xlpm.st_after, _xlpm.shortT+_xlpm.st_raise,
 _xlpm.lt_after, _xlpm.longT+_xlpm.lt_raise,
 _xlpm.it_after, _xlpm.oneTime,
 _xlpm.econ_neg,MAX(0,-_xlpm.econ_after),
 _xlpm.use_from_st,MIN(MAX(0,_xlpm.st_after), _xlpm.econ_neg),
 _xlpm.use_from_lt,MIN(MAX(0,_xlpm.lt_after), _xlpm.econ_neg-_xlpm.use_from_st),
 _xlpm.use_from_it,MIN(MAX(0,_xlpm.it_after), _xlpm.econ_neg-_xlpm.use_from_st-_xlpm.use_from_lt),
 MAX(0, _xlpm.it_after - _xlpm.use_from_it)
)</f>
        <v>0</v>
      </c>
      <c r="F16" s="68"/>
      <c r="G16" s="3">
        <f>_xlfn.LET(
 _xlpm.econ,E13, _xlpm.st,E14, _xlpm.lt,E15, _xlpm.it,E16, _xlpm.forest,E17,
 _xlpm.forest_pos,MAX(0,_xlpm.forest),
 _xlpm.forest_neg,MAX(0,-_xlpm.forest),
 _xlpm.ltNeg,MAX(0,-_xlpm.lt), _xlpm.stNeg,MAX(0,-_xlpm.st), _xlpm.econNeg,MAX(0,-_xlpm.econ),
 _xlpm.ltPos,MAX(0,_xlpm.lt),  _xlpm.stPos,MAX(0,_xlpm.st),  _xlpm.econPos,MAX(0,_xlpm.econ), _xlpm.itPos,MAX(0,_xlpm.it),
 _xlpm.use_lt_pos,  MIN(_xlpm.forest_pos, _xlpm.ltNeg),
 _xlpm.use_st_pos,  MIN(_xlpm.forest_pos-_xlpm.use_lt_pos, _xlpm.stNeg),
 _xlpm.use_econ_pos,MIN(_xlpm.forest_pos-_xlpm.use_lt_pos-_xlpm.use_st_pos, _xlpm.econNeg),
 _xlpm.it_when_pos, _xlpm.it,
 _xlpm.use_from_econ, MIN(_xlpm.econPos, _xlpm.forest_neg),
 _xlpm.use_from_st,   MIN(_xlpm.stPos,   _xlpm.forest_neg - _xlpm.use_from_econ),
 _xlpm.use_from_lt,   MIN(_xlpm.ltPos,   _xlpm.forest_neg - _xlpm.use_from_econ - _xlpm.use_from_st),
 _xlpm.use_from_it,   MIN(_xlpm.itPos,   _xlpm.forest_neg - _xlpm.use_from_econ - _xlpm.use_from_st - _xlpm.use_from_lt),
 _xlpm.it_when_neg, MAX(0, _xlpm.it - _xlpm.use_from_it),
 IF(_xlpm.forest&gt;=0, _xlpm.it_when_pos, _xlpm.it_when_neg)
)</f>
        <v>0</v>
      </c>
      <c r="H16" s="68"/>
      <c r="I16" s="3">
        <f>_xlfn.LET(
 _xlpm.it,G16,
 _xlpm.it
)</f>
        <v>0</v>
      </c>
      <c r="J16" s="3">
        <f>I16/2</f>
        <v>0</v>
      </c>
      <c r="M16" s="8" t="s">
        <v>29</v>
      </c>
      <c r="O16" s="3" cm="1">
        <f t="array" ref="O16">_xlfn.IFS(
   インプット表!$J$12="",0,
   N(SUM(O6,O29:O39))&gt;10000000, 0,
   LEFT(TRIM(インプット表!$J$12),1)="老",
   INDEX({480000,320000,160000}, MATCH(SUM(O6,O29:O39),{0,9000001,9500001},1)),
   LEFT(TRIM(インプット表!$J$12),1)="一",
   INDEX({380000,260000,130000}, MATCH(SUM(O6,O29:O39),{0,9000001,9500001},1)),
   LEFT(TRIM(インプット表!$J$12),1)="×",
   0
)</f>
        <v>0</v>
      </c>
      <c r="P16" s="3" cm="1">
        <f t="array" ref="P16">_xlfn.IFS(
   インプット表!$K$12="",0,
   N(SUM(P6,P29:P39))&gt;10000000, 0,
   LEFT(TRIM(インプット表!$K$12),1)="老",
   INDEX({480000,320000,160000}, MATCH(SUM(P6,P29:P39),{0,9000001,9500001},1)),
   LEFT(TRIM(インプット表!$K$12),1)="一",
   INDEX({380000,260000,130000}, MATCH(SUM(P6,P29:P39),{0,9000001,9500001},1)),
   LEFT(TRIM(インプット表!$K$12),1)="×",
   0
)</f>
        <v>0</v>
      </c>
      <c r="Q16" s="3" cm="1">
        <f t="array" ref="Q16">_xlfn.IFS(
   インプット表!$K$12="",0,
   N(SUM(Q6,Q29:Q39))&gt;10000000, 0,
   LEFT(TRIM(インプット表!$K$12),1)="老",
   INDEX({480000,320000,160000}, MATCH(SUM(Q6,Q29:Q39),{0,9000001,9500001},1)),
   LEFT(TRIM(インプット表!$K$12),1)="一",
   INDEX({380000,260000,130000}, MATCH(SUM(Q6,Q29:Q39),{0,9000001,9500001},1)),
   LEFT(TRIM(インプット表!$K$12),1)="×",
   0
)</f>
        <v>0</v>
      </c>
      <c r="T16" t="s">
        <v>183</v>
      </c>
      <c r="Z16" t="s">
        <v>29</v>
      </c>
      <c r="AA16" s="3" cm="1">
        <f t="array" ref="AA16">_xlfn.IFS(
   N(SUM(O6,O29:O39))&gt;10000000, 0,
   LEFT(TRIM(インプット表!$J$12),1)="老",
   INDEX({380000,260000,130000}, MATCH(SUM(O6,O29:O39),{0,9000001,9500001},1)),
   LEFT(TRIM(インプット表!$J$12),1)="一",
   INDEX({330000,220000,110000}, MATCH(SUM(O6,O29:O39),{0,9000001,9500001},1)),
   LEFT(TRIM(インプット表!$J$12),1)="×",
   0
)</f>
        <v>0</v>
      </c>
      <c r="AB16" s="3" cm="1">
        <f t="array" ref="AB16">_xlfn.IFS(
   N(SUM(P6,P29:P39))&gt;10000000, 0,
   LEFT(TRIM(インプット表!$K$12),1)="老",
   INDEX({380000,260000,130000}, MATCH(SUM(P6,P29:P39),{0,9000001,9500001},1)),
   LEFT(TRIM(インプット表!$K$12),1)="一",
   INDEX({330000,220000,110000}, MATCH(SUM(P6,P29:P39),{0,9000001,9500001},1)),
   LEFT(TRIM(インプット表!$K$12),1)="×",
   0
)</f>
        <v>0</v>
      </c>
    </row>
    <row r="17" spans="1:28" x14ac:dyDescent="0.45">
      <c r="A17" t="s">
        <v>28</v>
      </c>
      <c r="C17" s="3">
        <f>インプット表!C22</f>
        <v>0</v>
      </c>
      <c r="E17" s="3">
        <f>C17</f>
        <v>0</v>
      </c>
      <c r="F17" s="69"/>
      <c r="G17" s="3">
        <f>_xlfn.LET(
 _xlpm.econ,E13, _xlpm.st,E14, _xlpm.lt,E15, _xlpm.it,E16, _xlpm.forest,E17,
 _xlpm.forest_pos,MAX(0,_xlpm.forest),
 _xlpm.forest_neg,MAX(0,-_xlpm.forest),
 _xlpm.ltNeg,MAX(0,-_xlpm.lt), _xlpm.stNeg,MAX(0,-_xlpm.st), _xlpm.econNeg,MAX(0,-_xlpm.econ),
 _xlpm.ltPos,MAX(0,_xlpm.lt),  _xlpm.stPos,MAX(0,_xlpm.st),  _xlpm.econPos,MAX(0,_xlpm.econ), _xlpm.itPos,MAX(0,_xlpm.it),
 _xlpm.use_lt_pos,  MIN(_xlpm.forest_pos, _xlpm.ltNeg),
 _xlpm.use_st_pos,  MIN(_xlpm.forest_pos-_xlpm.use_lt_pos, _xlpm.stNeg),
 _xlpm.use_econ_pos,MIN(_xlpm.forest_pos-_xlpm.use_lt_pos-_xlpm.use_st_pos, _xlpm.econNeg),
 _xlpm.forest_after_pos, _xlpm.forest - (_xlpm.use_lt_pos + _xlpm.use_st_pos + _xlpm.use_econ_pos),
 _xlpm.use_from_econ, MIN(_xlpm.econPos, _xlpm.forest_neg),
 _xlpm.use_from_st,   MIN(_xlpm.stPos,   _xlpm.forest_neg - _xlpm.use_from_econ),
 _xlpm.use_from_lt,   MIN(_xlpm.ltPos,   _xlpm.forest_neg - _xlpm.use_from_econ - _xlpm.use_from_st),
 _xlpm.use_from_it,   MIN(_xlpm.itPos,   _xlpm.forest_neg - _xlpm.use_from_econ - _xlpm.use_from_st - _xlpm.use_from_lt),
 _xlpm.forest_after_neg, _xlpm.forest + (_xlpm.use_from_econ + _xlpm.use_from_st + _xlpm.use_from_lt + _xlpm.use_from_it),
 IF(_xlpm.forest&gt;=0, _xlpm.forest_after_pos, _xlpm.forest_after_neg)
)</f>
        <v>0</v>
      </c>
      <c r="H17" s="68"/>
      <c r="I17" s="3">
        <f>_xlfn.LET(
 _xlpm.econ,G13, _xlpm.st,G14, _xlpm.lt,G15, _xlpm.it,G16, _xlpm.forest,G17, _xlpm.retire,G18,
 _xlpm.ret_pos,MAX(0,_xlpm.retire),
 _xlpm.neg_lt,MAX(0,-_xlpm.lt), _xlpm.neg_st,MAX(0,-_xlpm.st), _xlpm.neg_econ,MAX(0,-_xlpm.econ), _xlpm.neg_for,MAX(0,-_xlpm.forest),
 _xlpm.use_lt,MIN(_xlpm.ret_pos,_xlpm.neg_lt),
 _xlpm.use_st,MIN(_xlpm.ret_pos-_xlpm.use_lt,_xlpm.neg_st),
 _xlpm.use_econ,MIN(_xlpm.ret_pos-_xlpm.use_lt-_xlpm.use_st,_xlpm.neg_econ),
 _xlpm.use_for,MIN(_xlpm.ret_pos-_xlpm.use_lt-_xlpm.use_st-_xlpm.use_econ,_xlpm.neg_for),
 _xlpm.forest + _xlpm.use_for
)</f>
        <v>0</v>
      </c>
      <c r="J17" s="3">
        <f t="shared" si="1"/>
        <v>0</v>
      </c>
      <c r="M17" s="8" t="s">
        <v>31</v>
      </c>
      <c r="O17" s="3" cm="1">
        <f t="array" ref="O17">IF(
  OR(_xlfn.NUMBERVALUE(SUM(O6,O29:O39))&gt;10000000,
     _xlfn.NUMBERVALUE(インプット表!$J$13)&lt;=480000,
     _xlfn.NUMBERVALUE(インプット表!$J$13)&gt;1330000
  ),
  0,
  INDEX(
    CHOOSE(
      LOOKUP(_xlfn.NUMBERVALUE(SUM(O6,O29:O39)),{0,9000001,9500001},{1,2,3}),
      {380000;360000;310000;260000;210000;160000;110000;60000;30000},
      {260000;240000;210000;180000;140000;110000;80000;40000;20000},
      {130000;120000;110000;90000;70000;60000;40000;20000;10000}
    ),
    LOOKUP(_xlfn.NUMBERVALUE(SUM(O6,O29:O39)),
           {480001;950001;1000001;1050001;1100001;1150001;1200001;1250001;1300001},
           {1;2;3;4;5;6;7;8;9}
    )
  )
)</f>
        <v>0</v>
      </c>
      <c r="P17" s="3" cm="1">
        <f t="array" ref="P17">IF(
  OR(_xlfn.NUMBERVALUE(SUM(P6,P29:P39))&gt;10000000,
     _xlfn.NUMBERVALUE(インプット表!$K$13)&lt;=480000,
     _xlfn.NUMBERVALUE(インプット表!$K$13)&gt;1330000
  ),
  0,
  INDEX(
    CHOOSE(
      LOOKUP(_xlfn.NUMBERVALUE(SUM(P6,P29:P39)),{0,9000001,9500001},{1,2,3}),
      {380000;360000;310000;260000;210000;160000;110000;60000;30000},
      {260000;240000;210000;180000;140000;110000;80000;40000;20000},
      {130000;120000;110000;90000;70000;60000;40000;20000;10000}
    ),
    LOOKUP(_xlfn.NUMBERVALUE(SUM(P6,P29:P39)),
           {480001;950001;1000001;1050001;1100001;1150001;1200001;1250001;1300001},
           {1;2;3;4;5;6;7;8;9}
    )
  )
)</f>
        <v>0</v>
      </c>
      <c r="Q17" s="3" cm="1">
        <f t="array" ref="Q17">IF(
  OR(_xlfn.NUMBERVALUE(SUM(Q6,Q29:Q39))&gt;10000000,
     _xlfn.NUMBERVALUE(インプット表!$K$13)&lt;=480000,
     _xlfn.NUMBERVALUE(インプット表!$K$13)&gt;1330000
  ),
  0,
  INDEX(
    CHOOSE(
      LOOKUP(_xlfn.NUMBERVALUE(SUM(Q6,Q29:Q39)),{0,9000001,9500001},{1,2,3}),
      {380000;360000;310000;260000;210000;160000;110000;60000;30000},
      {260000;240000;210000;180000;140000;110000;80000;40000;20000},
      {130000;120000;110000;90000;70000;60000;40000;20000;10000}
    ),
    LOOKUP(_xlfn.NUMBERVALUE(SUM(Q6,Q29:Q39)),
           {480001;950001;1000001;1050001;1100001;1150001;1200001;1250001;1300001},
           {1;2;3;4;5;6;7;8;9}
    )
  )
)</f>
        <v>0</v>
      </c>
      <c r="U17" t="s">
        <v>45</v>
      </c>
      <c r="V17" s="3">
        <f>V11-V14</f>
        <v>752280</v>
      </c>
      <c r="W17" s="3">
        <f t="shared" ref="W17:X18" si="3">W11-W14</f>
        <v>210300</v>
      </c>
      <c r="X17" s="3">
        <f t="shared" si="3"/>
        <v>210300</v>
      </c>
      <c r="Z17" t="s">
        <v>231</v>
      </c>
      <c r="AA17" s="3" cm="1">
        <f t="array" ref="AA17">IF(
  OR(_xlfn.NUMBERVALUE(インプット表!$C$25)&gt;10000000,
     _xlfn.NUMBERVALUE(インプット表!$J$13)&lt;=480000,
     _xlfn.NUMBERVALUE(インプット表!$J$13)&gt;1330000
  ),
  0,
  INDEX(
    CHOOSE(
      LOOKUP(_xlfn.NUMBERVALUE(インプット表!$C$25),{0,9000001,9500001},{1,2,3}),
      {330000;330000;310000;260000;210000;160000;110000;60000;30000},
      {220000;220000;210000;180000;140000;110000;80000;40000;20000},
      {110000;110000;110000;90000;70000;60000;40000;20000;10000}
    ),
    LOOKUP(_xlfn.NUMBERVALUE(インプット表!$J$13),
           {480001;950001;1000001;1050001;1100001;1150001;1200001;1250001;1300001},
           {1;2;3;4;5;6;7;8;9}
    )
  )
)</f>
        <v>0</v>
      </c>
      <c r="AB17" s="3" cm="1">
        <f t="array" ref="AB17">IF(
  OR(_xlfn.NUMBERVALUE(インプット表!$D$25)&gt;10000000,
     _xlfn.NUMBERVALUE(インプット表!$K$13)&lt;=480000,
     _xlfn.NUMBERVALUE(インプット表!$K$13)&gt;1330000
  ),
  0,
  INDEX(
    CHOOSE(
      LOOKUP(_xlfn.NUMBERVALUE(インプット表!$D$25),{0,9000001,9500001},{1,2,3}),
      {330000;330000;310000;260000;210000;160000;110000;60000;30000},
      {220000;220000;210000;180000;140000;110000;80000;40000;20000},
      {110000;110000;110000;90000;70000;60000;40000;20000;10000}
    ),
    LOOKUP(_xlfn.NUMBERVALUE(インプット表!$K$13),
           {480001;950001;1000001;1050001;1100001;1150001;1200001;1250001;1300001},
           {1;2;3;4;5;6;7;8;9}
    )
  )
)</f>
        <v>0</v>
      </c>
    </row>
    <row r="18" spans="1:28" x14ac:dyDescent="0.45">
      <c r="A18" t="s">
        <v>30</v>
      </c>
      <c r="C18" s="3">
        <f>IF(インプット表!C23&lt;0,0,インプット表!C23)</f>
        <v>0</v>
      </c>
      <c r="E18" s="3">
        <f>C18</f>
        <v>0</v>
      </c>
      <c r="G18" s="3">
        <f>E18</f>
        <v>0</v>
      </c>
      <c r="H18" s="69"/>
      <c r="I18" s="3">
        <f>_xlfn.LET(
 _xlpm.econ,G13, _xlpm.st,G14, _xlpm.lt,G15, _xlpm.it,G16, _xlpm.forest,G17, _xlpm.retire,G18,
 _xlpm.ret_pos,MAX(0,_xlpm.retire),
 _xlpm.neg_lt,MAX(0,-_xlpm.lt), _xlpm.neg_st,MAX(0,-_xlpm.st), _xlpm.neg_econ,MAX(0,-_xlpm.econ), _xlpm.neg_for,MAX(0,-_xlpm.forest),
 _xlpm.use_lt,MIN(_xlpm.ret_pos,_xlpm.neg_lt),
 _xlpm.use_st,MIN(_xlpm.ret_pos-_xlpm.use_lt,_xlpm.neg_st),
 _xlpm.use_econ,MIN(_xlpm.ret_pos-_xlpm.use_lt-_xlpm.use_st,_xlpm.neg_econ),
 _xlpm.use_for,MIN(_xlpm.ret_pos-_xlpm.use_lt-_xlpm.use_st-_xlpm.use_econ,_xlpm.neg_for),
 _xlpm.retire - (_xlpm.use_lt + _xlpm.use_st + _xlpm.use_econ + _xlpm.use_for)
)</f>
        <v>0</v>
      </c>
      <c r="J18" s="3">
        <f t="shared" si="1"/>
        <v>0</v>
      </c>
      <c r="M18" t="s">
        <v>33</v>
      </c>
      <c r="O18" s="3">
        <f>SUM(インプット表!$J$14*380000,インプット表!$J$15*630000,インプット表!$J$16*480000,インプット表!$J$17*580000)</f>
        <v>0</v>
      </c>
      <c r="P18" s="3">
        <f>SUM(インプット表!K14*380000,インプット表!K15*630000,インプット表!K16*480000,インプット表!K17*580000)</f>
        <v>0</v>
      </c>
      <c r="Q18" s="3">
        <f>SUM(インプット表!K14*380000,インプット表!K15*630000,インプット表!K16*480000,インプット表!K17*580000)</f>
        <v>0</v>
      </c>
      <c r="U18" t="s">
        <v>46</v>
      </c>
      <c r="V18" s="3">
        <f>V12-V15</f>
        <v>501520</v>
      </c>
      <c r="W18" s="3">
        <f>W12-W15</f>
        <v>140200</v>
      </c>
      <c r="X18" s="3">
        <f t="shared" si="3"/>
        <v>140200</v>
      </c>
      <c r="Z18" t="s">
        <v>33</v>
      </c>
      <c r="AA18" s="3">
        <f>SUM(インプット表!$J$14*330000,インプット表!$J$15*450000,インプット表!$J$16*380000,インプット表!$J$17*450000)</f>
        <v>0</v>
      </c>
      <c r="AB18" s="3">
        <f>SUM(インプット表!$K$14*330000,インプット表!$K$15*450000,インプット表!$K$16*380000,インプット表!$K$17*450000)</f>
        <v>0</v>
      </c>
    </row>
    <row r="19" spans="1:28" x14ac:dyDescent="0.45">
      <c r="I19" s="3" t="s">
        <v>117</v>
      </c>
      <c r="J19" s="3">
        <f>SUM(J13:J18)</f>
        <v>13831070</v>
      </c>
      <c r="M19" s="2" t="s">
        <v>287</v>
      </c>
      <c r="O19" s="3" cm="1">
        <f t="array" ref="O19">IF(O6=0,0,INDEX({0,630000,610000,510000,410000,310000,210000,110000,60000,30000,0},
MATCH(_xlfn.NUMBERVALUE(インプット表!J18),{0,580001,850001,900001,950001,100000,1050001,1100001,1150001,1200001,1230001},1)))</f>
        <v>0</v>
      </c>
      <c r="P19" s="3" cm="1">
        <f t="array" ref="P19">IF(P6=0,0,INDEX({0,630000,610000,510000,410000,310000,210000,110000,60000,30000,0},
MATCH(_xlfn.NUMBERVALUE(インプット表!K18),{0,580001,850001,900001,950001,1000001,1050001,1100001,1150001,1200001,1230001},1)))</f>
        <v>410000</v>
      </c>
      <c r="Q19" s="3" cm="1">
        <f t="array" ref="Q19">IF(Q6=0,0,INDEX({0,630000,610000,510000,410000,310000,210000,110000,60000,30000,0},
MATCH(_xlfn.NUMBERVALUE(インプット表!K18),{0,580001,850001,900001,950001,1000001,1050001,1100001,1150001,1200001,1230001},1)))</f>
        <v>410000</v>
      </c>
      <c r="U19" s="3" t="s">
        <v>48</v>
      </c>
      <c r="V19" s="3">
        <f>SUM(V17:V18)</f>
        <v>1253800</v>
      </c>
      <c r="W19" s="3">
        <f>SUM(W17:W18)</f>
        <v>350500</v>
      </c>
      <c r="X19" s="3">
        <f>SUM(X17:X18)</f>
        <v>350500</v>
      </c>
      <c r="Z19" s="3" t="s">
        <v>287</v>
      </c>
      <c r="AA19" s="3" cm="1">
        <f t="array" ref="AA19">IF(AA6=0,0,INDEX({0,630000,610000,510000,410000,310000,210000,110000,60000,30000,0},
MATCH(_xlfn.NUMBERVALUE(インプット表!J18),{0,580001,850001,900001,950001,1000001,1050001,1100001,1150001,1200001,1230001},1)))</f>
        <v>0</v>
      </c>
      <c r="AB19" s="3" cm="1">
        <f t="array" ref="AB19">IF(AB6=0,0,INDEX({0,450000,450000,450000,410000,310000,210000,110000,60000,30000,0},
MATCH(_xlfn.NUMBERVALUE(インプット表!K18),{0,580001,850001,900001,950001,1000001,1050001,1100001,1150001,1200001,1230001},1)))</f>
        <v>410000</v>
      </c>
    </row>
    <row r="20" spans="1:28" x14ac:dyDescent="0.45">
      <c r="M20" s="8" t="s">
        <v>49</v>
      </c>
      <c r="O20" s="3" cm="1">
        <f t="array" ref="O20">IF(O6=0,0,INDEX({950000,880000,680000,630000,580000,480000,320000,160000,0},
MATCH(_xlfn.NUMBERVALUE(SUM(O6,O29:O39)),{0,1320001,3360001,4890001,6550001,23500001,24000001,24500001,25000001},1)))</f>
        <v>580000</v>
      </c>
      <c r="P20" s="3" cm="1">
        <f t="array" ref="P20">IF(P6=0,0,INDEX({950000,880000,680000,630000,580000,480000,320000,160000,0},
MATCH(_xlfn.NUMBERVALUE(SUM(P6,P29:P39)),{0,1320001,3360001,4890001,6550001,23500001,24000001,24500001,25000001},1)))</f>
        <v>630000</v>
      </c>
      <c r="Q20" s="3" cm="1">
        <f t="array" ref="Q20">IF(Q6=0,0,INDEX({950000,880000,680000,630000,580000,480000,320000,160000,0},
MATCH(_xlfn.NUMBERVALUE(SUM(Q6,Q29:Q39)),{0,1320001,3360001,4890001,6550001,23500001,24000001,24500001,25000001},1)))</f>
        <v>630000</v>
      </c>
      <c r="T20" t="s">
        <v>50</v>
      </c>
      <c r="Z20" t="s">
        <v>232</v>
      </c>
      <c r="AA20" s="3" cm="1">
        <f t="array" ref="AA20">INDEX({430000,290000,150000,0},
       MATCH(_xlfn.NUMBERVALUE(SUM(AA6,O29:O39)), {0,24000001,24500001,25000001}, 1))</f>
        <v>430000</v>
      </c>
      <c r="AB20" s="3" cm="1">
        <f t="array" ref="AB20">INDEX({430000,290000,150000,0},
       MATCH(_xlfn.NUMBERVALUE(SUM(AB6,P29:P39)), {0,24000001,24500001,25000001}, 1))</f>
        <v>430000</v>
      </c>
    </row>
    <row r="21" spans="1:28" x14ac:dyDescent="0.45">
      <c r="A21" t="s">
        <v>102</v>
      </c>
      <c r="B21" t="s">
        <v>5</v>
      </c>
      <c r="C21" s="3">
        <f>インプット表!C13</f>
        <v>0</v>
      </c>
      <c r="E21" s="3">
        <f>_xlfn.LET(
  _xlpm.short_general, C21,
  _xlpm.short_reduced, C22,
  _xlpm.short_general_after,
    IF(AND(_xlpm.short_general&gt;=0, _xlpm.short_reduced&lt;0),
       _xlpm.short_general - MIN(_xlpm.short_general, -_xlpm.short_reduced),
       IF(AND(_xlpm.short_general&lt;0, _xlpm.short_reduced&gt;=0),
          _xlpm.short_general + MIN(_xlpm.short_reduced, -_xlpm.short_general),
          _xlpm.short_general
       )
    ),
  _xlpm.short_general_after
)</f>
        <v>0</v>
      </c>
      <c r="G21" s="3">
        <f>_xlfn.LET(
  _xlpm.s_general, E21, _xlpm.s_reduced, E22,
  _xlpm.l_general, E23, _xlpm.l_reduced, E24, _xlpm.l_light, E25,
  _xlpm.short_need, MAX(0, -(MIN(0, _xlpm.s_general) + MIN(0, _xlpm.s_reduced))),
  _xlpm.long_need,  MAX(0, -(MIN(0, _xlpm.l_general) + MIN(0, _xlpm.l_reduced) + MIN(0, _xlpm.l_light))),
  _xlpm.give_lg, IF(AND(_xlpm.short_need&gt;0, _xlpm.long_need=0), MIN(MAX(0, _xlpm.l_general), _xlpm.short_need), 0),
  _xlpm.rem_s1,  IF(AND(_xlpm.short_need&gt;0, _xlpm.long_need=0), _xlpm.short_need - _xlpm.give_lg, 0),
  _xlpm.give_lr, IF(AND(_xlpm.short_need&gt;0, _xlpm.long_need=0), MIN(MAX(0, _xlpm.l_reduced), _xlpm.rem_s1), 0),
  _xlpm.rem_s2,  IF(AND(_xlpm.short_need&gt;0, _xlpm.long_need=0), _xlpm.rem_s1 - _xlpm.give_lr, 0),
  _xlpm.give_ll, IF(AND(_xlpm.short_need&gt;0, _xlpm.long_need=0), MIN(MAX(0, _xlpm.l_light), _xlpm.rem_s2), 0),
  _xlpm.total_to_short, _xlpm.give_lg + _xlpm.give_lr + _xlpm.give_ll,
  _xlpm.inc_s_general, MIN(MAX(0, -_xlpm.s_general), _xlpm.total_to_short),
  _xlpm.take_sg, IF(AND(_xlpm.long_need&gt;0, _xlpm.short_need=0), MIN(MAX(0, _xlpm.s_general), _xlpm.long_need), 0),
  _xlpm.rem_l1,  IF(AND(_xlpm.long_need&gt;0, _xlpm.short_need=0), _xlpm.long_need - _xlpm.take_sg, 0),
  _xlpm.take_sr, IF(AND(_xlpm.long_need&gt;0, _xlpm.short_need=0), MIN(MAX(0, _xlpm.s_reduced), _xlpm.rem_l1), 0),
  _xlpm.s_general + _xlpm.inc_s_general - _xlpm.take_sg
)</f>
        <v>0</v>
      </c>
      <c r="M21" t="s">
        <v>60</v>
      </c>
      <c r="O21" s="3">
        <f>SUM(O8:O20)</f>
        <v>1283890</v>
      </c>
      <c r="P21" s="3">
        <f>SUM(P8:P20)</f>
        <v>1670000</v>
      </c>
      <c r="Q21" s="3">
        <f>SUM(Q8:Q20)</f>
        <v>1670000</v>
      </c>
      <c r="U21" t="s">
        <v>45</v>
      </c>
      <c r="V21" s="3">
        <f>IF(N(インプット表!$J$30)&lt;=2000,0,
      (MIN(N(インプット表!$J$30), N(AA6)*0.3)-2000)
      *IF($V$6=TRUE, マスター!$L$19, マスター!$N$19))</f>
        <v>26760</v>
      </c>
      <c r="W21" s="3">
        <f>IF(N(インプット表!$K$30)&lt;=2000,0,
      (MIN(N(インプット表!$K$30), SUM(Q42:Q48)*0.3)-2000)
      *IF($W$6=TRUE, マスター!$L$19, マスター!$N$19))</f>
        <v>2760</v>
      </c>
      <c r="X21" s="12">
        <f xml:space="preserve"> IF( N(インプット表!$K$30 - インプット表!$K$22) &lt;= 2000, 0,
          ( MIN( N(インプット表!$K$30 - インプット表!$K$22), N(AB6)*0.3 ) - 2000 )
          * IF($W$6, マスター!$L$19, マスター!$N$19) )</f>
        <v>0</v>
      </c>
      <c r="Z21" t="s">
        <v>37</v>
      </c>
      <c r="AA21" s="3">
        <f>O22</f>
        <v>0</v>
      </c>
      <c r="AB21" s="3">
        <f>P22</f>
        <v>0</v>
      </c>
    </row>
    <row r="22" spans="1:28" x14ac:dyDescent="0.45">
      <c r="A22" s="2"/>
      <c r="B22" t="s">
        <v>8</v>
      </c>
      <c r="C22" s="3">
        <f>インプット表!C14</f>
        <v>0</v>
      </c>
      <c r="E22" s="3">
        <f>_xlfn.LET(
  _xlpm.short_general, C21,
  _xlpm.short_reduced, C22,
  _xlpm.short_reduced_after,
    IF(AND(_xlpm.short_general&gt;=0, _xlpm.short_reduced&lt;0),
       _xlpm.short_reduced + MIN(_xlpm.short_general, -_xlpm.short_reduced),
       IF(AND(_xlpm.short_general&lt;0, _xlpm.short_reduced&gt;=0),
          _xlpm.short_reduced - MIN(_xlpm.short_reduced, -_xlpm.short_general),
          _xlpm.short_reduced
       )
    ),
  _xlpm.short_reduced_after
)</f>
        <v>0</v>
      </c>
      <c r="G22" s="3">
        <f>_xlfn.LET(
  _xlpm.s_general, E21, _xlpm.s_reduced, E22,
  _xlpm.l_general, E23, _xlpm.l_reduced, E24, _xlpm.l_light, E25,
  _xlpm.short_need, MAX(0, -(MIN(0, _xlpm.s_general) + MIN(0, _xlpm.s_reduced))),
  _xlpm.long_need,  MAX(0, -(MIN(0, _xlpm.l_general) + MIN(0, _xlpm.l_reduced) + MIN(0, _xlpm.l_light))),
  _xlpm.give_lg, IF(AND(_xlpm.short_need&gt;0, _xlpm.long_need=0), MIN(MAX(0, _xlpm.l_general), _xlpm.short_need), 0),
  _xlpm.rem_s1,  IF(AND(_xlpm.short_need&gt;0, _xlpm.long_need=0), _xlpm.short_need - _xlpm.give_lg, 0),
  _xlpm.give_lr, IF(AND(_xlpm.short_need&gt;0, _xlpm.long_need=0), MIN(MAX(0, _xlpm.l_reduced), _xlpm.rem_s1), 0),
  _xlpm.rem_s2,  IF(AND(_xlpm.short_need&gt;0, _xlpm.long_need=0), _xlpm.rem_s1 - _xlpm.give_lr, 0),
  _xlpm.give_ll, IF(AND(_xlpm.short_need&gt;0, _xlpm.long_need=0), MIN(MAX(0, _xlpm.l_light), _xlpm.rem_s2), 0),
  _xlpm.total_to_short, _xlpm.give_lg + _xlpm.give_lr + _xlpm.give_ll,
  _xlpm.inc_s_general, MIN(MAX(0, -_xlpm.s_general), _xlpm.total_to_short),
  _xlpm.inc_s_reduced, MIN(MAX(0, -_xlpm.s_reduced), _xlpm.total_to_short - _xlpm.inc_s_general),
  _xlpm.take_sg, IF(AND(_xlpm.long_need&gt;0, _xlpm.short_need=0), MIN(MAX(0, _xlpm.s_general), _xlpm.long_need), 0),
  _xlpm.rem_l1,  IF(AND(_xlpm.long_need&gt;0, _xlpm.short_need=0), _xlpm.long_need - _xlpm.take_sg, 0),
  _xlpm.take_sr, IF(AND(_xlpm.long_need&gt;0, _xlpm.short_need=0), MIN(MAX(0, _xlpm.s_reduced), _xlpm.rem_l1), 0),
  _xlpm.s_reduced + _xlpm.inc_s_reduced - _xlpm.take_sr
)</f>
        <v>0</v>
      </c>
      <c r="M22" t="s">
        <v>37</v>
      </c>
      <c r="O22" s="3">
        <f>インプット表!J19</f>
        <v>0</v>
      </c>
      <c r="P22" s="3">
        <f>インプット表!K19</f>
        <v>0</v>
      </c>
      <c r="Q22" s="3">
        <f>インプット表!K19</f>
        <v>0</v>
      </c>
      <c r="U22" t="s">
        <v>46</v>
      </c>
      <c r="V22" s="3">
        <f>IF(N(インプット表!$J$30)&lt;=2000,0,
       (MIN(N(インプット表!$J$30), N(AA6)*0.3)-2000)
       *IF($V$6=TRUE, マスター!$M$19, マスター!$O$19))</f>
        <v>17840</v>
      </c>
      <c r="W22" s="3">
        <f>IF(N(インプット表!$K$30)&lt;=2000,0,
       (MIN(N(インプット表!$K$30), SUM(Q42:Q48)*0.3)-2000)
       *IF($W$6=TRUE, マスター!$M$19, マスター!$O$19))</f>
        <v>1840</v>
      </c>
      <c r="X22" s="12">
        <f xml:space="preserve"> IF( N(インプット表!$K$30 - インプット表!$K$22) &lt;= 2000, 0,
          ( MIN( N(インプット表!$K$30 - インプット表!$K$22), N(AB6)*0.3 ) - 2000 )
          * IF($W$6, マスター!$M$19, マスター!$O$19) )</f>
        <v>0</v>
      </c>
      <c r="Z22" s="3" t="s">
        <v>38</v>
      </c>
      <c r="AA22" s="3">
        <f>O23</f>
        <v>134037</v>
      </c>
      <c r="AB22" s="3">
        <f>P23</f>
        <v>0</v>
      </c>
    </row>
    <row r="23" spans="1:28" x14ac:dyDescent="0.45">
      <c r="A23" t="s">
        <v>103</v>
      </c>
      <c r="B23" t="s">
        <v>5</v>
      </c>
      <c r="C23" s="3">
        <f>インプット表!C15</f>
        <v>0</v>
      </c>
      <c r="E23" s="3">
        <f>_xlfn.LET(
  _xlpm.long_general, C23,
  _xlpm.long_reduced, C24,
  _xlpm.long_light,   C25,
  _xlpm.need_general, MAX(0, -_xlpm.long_general),
  _xlpm.move_reduced_to_general, MIN(MAX(0, _xlpm.long_reduced), _xlpm.need_general),
  _xlpm.lg_a, _xlpm.long_general + _xlpm.move_reduced_to_general,
  _xlpm.lr_a, _xlpm.long_reduced - _xlpm.move_reduced_to_general,
  _xlpm.ll_a, _xlpm.long_light,
  _xlpm.need_general_2, MAX(0, -_xlpm.lg_a),
  _xlpm.move_light_to_general, MIN(MAX(0, _xlpm.ll_a), _xlpm.need_general_2),
  _xlpm.lg_b, _xlpm.lg_a + _xlpm.move_light_to_general,
  _xlpm.lr_b, _xlpm.lr_a,
  _xlpm.ll_b, _xlpm.ll_a - _xlpm.move_light_to_general,
  _xlpm.need_reduced, MAX(0, -_xlpm.lr_b),
  _xlpm.move_general_to_reduced, MIN(MAX(0, _xlpm.lg_b), _xlpm.need_reduced),
  _xlpm.lg_c, _xlpm.lg_b - _xlpm.move_general_to_reduced,
  _xlpm.lr_c, _xlpm.lr_b + _xlpm.move_general_to_reduced,
  _xlpm.need_reduced_2, MAX(0, -_xlpm.lr_c),
  _xlpm.move_light_to_reduced, MIN(MAX(0, _xlpm.ll_b), _xlpm.need_reduced_2),
  _xlpm.lg_d, _xlpm.lg_c,
  _xlpm.lr_d, _xlpm.lr_c + _xlpm.move_light_to_reduced,
  _xlpm.ll_c, _xlpm.ll_b - _xlpm.move_light_to_reduced,
  _xlpm.need_light, MAX(0, -_xlpm.ll_c),
  _xlpm.move_general_to_light, MIN(MAX(0, _xlpm.lg_d), _xlpm.need_light),
  _xlpm.lg_e, _xlpm.lg_d - _xlpm.move_general_to_light,
  _xlpm.ll_d, _xlpm.ll_c + _xlpm.move_general_to_light,
  _xlpm.need_light_2, MAX(0, -_xlpm.ll_d),
  _xlpm.move_reduced_to_light, MIN(MAX(0, _xlpm.lr_d), _xlpm.need_light_2),
  _xlpm.lg_e
)</f>
        <v>0</v>
      </c>
      <c r="G23" s="3">
        <f>_xlfn.LET(
  _xlpm.s_general, E21, _xlpm.s_reduced, E22,
  _xlpm.l_general, E23, _xlpm.l_reduced, E24, _xlpm.l_light, E25,
  _xlpm.short_need, MAX(0, -(MIN(0, _xlpm.s_general) + MIN(0, _xlpm.s_reduced))),
  _xlpm.long_need,  MAX(0, -(MIN(0, _xlpm.l_general) + MIN(0, _xlpm.l_reduced) + MIN(0, _xlpm.l_light))),
  _xlpm.give_lg, IF(AND(_xlpm.short_need&gt;0, _xlpm.long_need=0), MIN(MAX(0, _xlpm.l_general), _xlpm.short_need), 0),
  _xlpm.take_sg, IF(AND(_xlpm.long_need&gt;0, _xlpm.short_need=0), MIN(MAX(0, _xlpm.s_general), _xlpm.long_need), 0),
  _xlpm.rem_l1,  IF(AND(_xlpm.long_need&gt;0, _xlpm.short_need=0), _xlpm.long_need - _xlpm.take_sg, 0),
  _xlpm.take_sr, IF(AND(_xlpm.long_need&gt;0, _xlpm.short_need=0), MIN(MAX(0, _xlpm.s_reduced), _xlpm.rem_l1), 0),
  _xlpm.inc_l_general, MIN(MAX(0, -_xlpm.l_general), _xlpm.take_sg + _xlpm.take_sr),
  _xlpm.l_general - _xlpm.give_lg + _xlpm.inc_l_general
)</f>
        <v>0</v>
      </c>
      <c r="M23" t="s">
        <v>38</v>
      </c>
      <c r="O23" s="3">
        <f>インプット表!J20</f>
        <v>134037</v>
      </c>
      <c r="P23" s="3">
        <f>インプット表!K20</f>
        <v>0</v>
      </c>
      <c r="Q23" s="3">
        <f>インプット表!K20</f>
        <v>0</v>
      </c>
      <c r="T23" t="s">
        <v>163</v>
      </c>
    </row>
    <row r="24" spans="1:28" x14ac:dyDescent="0.45">
      <c r="A24" s="2"/>
      <c r="B24" t="s">
        <v>13</v>
      </c>
      <c r="C24" s="3">
        <f>インプット表!C16</f>
        <v>0</v>
      </c>
      <c r="E24" s="3">
        <f>_xlfn.LET(
  _xlpm.long_general, C23,
  _xlpm.long_reduced, C24,
  _xlpm.long_light,   C25,
  _xlpm.need_general, MAX(0, -_xlpm.long_general),
  _xlpm.move_reduced_to_general, MIN(MAX(0, _xlpm.long_reduced), _xlpm.need_general),
  _xlpm.lg_a, _xlpm.long_general + _xlpm.move_reduced_to_general,
  _xlpm.lr_a, _xlpm.long_reduced - _xlpm.move_reduced_to_general,
  _xlpm.ll_a, _xlpm.long_light,
  _xlpm.need_general_2, MAX(0, -_xlpm.lg_a),
  _xlpm.move_light_to_general, MIN(MAX(0, _xlpm.ll_a), _xlpm.need_general_2),
  _xlpm.lg_b, _xlpm.lg_a + _xlpm.move_light_to_general,
  _xlpm.lr_b, _xlpm.lr_a,
  _xlpm.ll_b, _xlpm.ll_a - _xlpm.move_light_to_general,
  _xlpm.need_reduced, MAX(0, -_xlpm.lr_b),
  _xlpm.move_general_to_reduced, MIN(MAX(0, _xlpm.lg_b), _xlpm.need_reduced),
  _xlpm.lg_c, _xlpm.lg_b - _xlpm.move_general_to_reduced,
  _xlpm.lr_c, _xlpm.lr_b + _xlpm.move_general_to_reduced,
  _xlpm.need_reduced_2, MAX(0, -_xlpm.lr_c),
  _xlpm.move_light_to_reduced, MIN(MAX(0, _xlpm.ll_b), _xlpm.need_reduced_2),
  _xlpm.lr_d, _xlpm.lr_c + _xlpm.move_light_to_reduced,
  _xlpm.lr_d
)</f>
        <v>0</v>
      </c>
      <c r="G24" s="3">
        <f>_xlfn.LET(
  _xlpm.s_general, E21, _xlpm.s_reduced, E22,
  _xlpm.l_general, E23, _xlpm.l_reduced, E24, _xlpm.l_light, E25,
  _xlpm.short_need, MAX(0, -(MIN(0, _xlpm.s_general) + MIN(0, _xlpm.s_reduced))),
  _xlpm.long_need,  MAX(0, -(MIN(0, _xlpm.l_general) + MIN(0, _xlpm.l_reduced) + MIN(0, _xlpm.l_light))),
  _xlpm.give_lg, IF(AND(_xlpm.short_need&gt;0, _xlpm.long_need=0), MIN(MAX(0, _xlpm.l_general), _xlpm.short_need), 0),
  _xlpm.rem_s1,  IF(AND(_xlpm.short_need&gt;0, _xlpm.long_need=0), _xlpm.short_need - _xlpm.give_lg, 0),
  _xlpm.give_lr, IF(AND(_xlpm.short_need&gt;0, _xlpm.long_need=0), MIN(MAX(0, _xlpm.l_reduced), _xlpm.rem_s1), 0),
  _xlpm.take_sg, IF(AND(_xlpm.long_need&gt;0, _xlpm.short_need=0), MIN(MAX(0, _xlpm.s_general), _xlpm.long_need), 0),
  _xlpm.rem_l1,  IF(AND(_xlpm.long_need&gt;0, _xlpm.short_need=0), _xlpm.long_need - _xlpm.take_sg, 0),
  _xlpm.take_sr, IF(AND(_xlpm.long_need&gt;0, _xlpm.short_need=0), MIN(MAX(0, _xlpm.s_reduced), _xlpm.rem_l1), 0),
  _xlpm.inc_l_reduced, MIN(MAX(0, -_xlpm.l_reduced), _xlpm.take_sg + _xlpm.take_sr - MIN(MAX(0, -_xlpm.l_general), _xlpm.take_sg + _xlpm.take_sr)),
  _xlpm.l_reduced - _xlpm.give_lr + _xlpm.inc_l_reduced
)</f>
        <v>0</v>
      </c>
      <c r="M24" s="8" t="s">
        <v>39</v>
      </c>
      <c r="O24" s="3">
        <f>IF(インプット表!J21+インプット表!J22&lt;2000,0,IF(インプット表!J21&lt;=SUM(O6,O29:O39)*0.4,インプット表!J21,SUM(O6,O29:O39)*0.4)+インプット表!J22-2000)</f>
        <v>459000</v>
      </c>
      <c r="P24" s="3">
        <f>IF(W32,0,IF(インプット表!K21+インプット表!K22&lt;2000,0,IF(インプット表!K21&lt;=SUM(P6,P29:P39)*0.4,インプット表!K21,SUM(P6,P29:P39)*0.4)+インプット表!K22-2000))</f>
        <v>46000</v>
      </c>
      <c r="Q24" s="12">
        <v>0</v>
      </c>
      <c r="U24" t="s">
        <v>45</v>
      </c>
      <c r="V24" s="3">
        <f xml:space="preserve">
IF(N(インプット表!$J$31)&lt;=2000, 0,
   (N(インプット表!$J$31)-2000) * $AA$56 * IF($V$6, マスター!$L$20, マスター!$N$20)
)</f>
        <v>150677.53199999998</v>
      </c>
      <c r="W24" s="3">
        <f xml:space="preserve">
IF(N(インプット表!$K$31)&lt;=2000, 0,
   (N(インプット表!$K$31)-2000) * $AB$56 * IF($W$6, マスター!$L$20, マスター!$N$20)
)</f>
        <v>22022.04</v>
      </c>
      <c r="X24" s="12">
        <v>0</v>
      </c>
      <c r="Z24" t="s">
        <v>51</v>
      </c>
      <c r="AA24" s="3">
        <f>SUM(AA8:AA23)</f>
        <v>1267927</v>
      </c>
      <c r="AB24" s="3">
        <f>SUM(AB8:AB23)</f>
        <v>1470000</v>
      </c>
    </row>
    <row r="25" spans="1:28" x14ac:dyDescent="0.45">
      <c r="A25" s="2"/>
      <c r="B25" t="s">
        <v>16</v>
      </c>
      <c r="C25" s="3">
        <f>インプット表!C17</f>
        <v>0</v>
      </c>
      <c r="E25" s="3">
        <f>_xlfn.LET(
  _xlpm.long_general, C23,
  _xlpm.long_reduced, C24,
  _xlpm.long_light,   C25,
  _xlpm.need_general, MAX(0, -_xlpm.long_general),
  _xlpm.move_reduced_to_general, MIN(MAX(0, _xlpm.long_reduced), _xlpm.need_general),
  _xlpm.lg_a, _xlpm.long_general + _xlpm.move_reduced_to_general,
  _xlpm.lr_a, _xlpm.long_reduced - _xlpm.move_reduced_to_general,
  _xlpm.ll_a, _xlpm.long_light,
  _xlpm.need_general_2, MAX(0, -_xlpm.lg_a),
  _xlpm.move_light_to_general, MIN(MAX(0, _xlpm.ll_a), _xlpm.need_general_2),
  _xlpm.lg_b, _xlpm.lg_a + _xlpm.move_light_to_general,
  _xlpm.lr_b, _xlpm.lr_a,
  _xlpm.ll_b, _xlpm.ll_a - _xlpm.move_light_to_general,
  _xlpm.need_reduced, MAX(0, -_xlpm.lr_b),
  _xlpm.move_general_to_reduced, MIN(MAX(0, _xlpm.lg_b), _xlpm.need_reduced),
  _xlpm.lg_c, _xlpm.lg_b - _xlpm.move_general_to_reduced,
  _xlpm.lr_c, _xlpm.lr_b + _xlpm.move_general_to_reduced,
  _xlpm.need_reduced_2, MAX(0, -_xlpm.lr_c),
  _xlpm.move_light_to_reduced, MIN(MAX(0, _xlpm.ll_b), _xlpm.need_reduced_2),
  _xlpm.ll_c, _xlpm.ll_b - _xlpm.move_light_to_reduced,
  _xlpm.ll_c
)</f>
        <v>0</v>
      </c>
      <c r="G25" s="3">
        <f>_xlfn.LET(
  _xlpm.s_general, E21, _xlpm.s_reduced, E22,
  _xlpm.l_general, E23, _xlpm.l_reduced, E24, _xlpm.l_light, E25,
  _xlpm.short_need, MAX(0, -(MIN(0, _xlpm.s_general) + MIN(0, _xlpm.s_reduced))),
  _xlpm.long_need,  MAX(0, -(MIN(0, _xlpm.l_general) + MIN(0, _xlpm.l_reduced) + MIN(0, _xlpm.l_light))),
  _xlpm.give_lg, IF(AND(_xlpm.short_need&gt;0, _xlpm.long_need=0), MIN(MAX(0, _xlpm.l_general), _xlpm.short_need), 0),
  _xlpm.rem_s1,  IF(AND(_xlpm.short_need&gt;0, _xlpm.long_need=0), _xlpm.short_need - _xlpm.give_lg, 0),
  _xlpm.give_lr, IF(AND(_xlpm.short_need&gt;0, _xlpm.long_need=0), MIN(MAX(0, _xlpm.l_reduced), _xlpm.rem_s1), 0),
  _xlpm.rem_s2,  IF(AND(_xlpm.short_need&gt;0, _xlpm.long_need=0), _xlpm.rem_s1 - _xlpm.give_lr, 0),
  _xlpm.give_ll, IF(AND(_xlpm.short_need&gt;0, _xlpm.long_need=0), MIN(MAX(0, _xlpm.l_light), _xlpm.rem_s2), 0),
  _xlpm.take_sg, IF(AND(_xlpm.long_need&gt;0, _xlpm.short_need=0), MIN(MAX(0, _xlpm.s_general), _xlpm.long_need), 0),
  _xlpm.rem_l1,  IF(AND(_xlpm.long_need&gt;0, _xlpm.short_need=0), _xlpm.long_need - _xlpm.take_sg, 0),
  _xlpm.take_sr, IF(AND(_xlpm.long_need&gt;0, _xlpm.short_need=0), MIN(MAX(0, _xlpm.s_reduced), _xlpm.rem_l1), 0),
  _xlpm.inc_l_general, MIN(MAX(0, -_xlpm.l_general), _xlpm.take_sg + _xlpm.take_sr),
  _xlpm.inc_l_reduced, MIN(MAX(0, -_xlpm.l_reduced), _xlpm.take_sg + _xlpm.take_sr - _xlpm.inc_l_general),
  _xlpm.inc_l_light, MIN(MAX(0, -_xlpm.l_light), _xlpm.take_sg + _xlpm.take_sr - _xlpm.inc_l_general - _xlpm.inc_l_reduced),
  _xlpm.l_light - _xlpm.give_ll + _xlpm.inc_l_light
)</f>
        <v>0</v>
      </c>
      <c r="M25" t="s">
        <v>51</v>
      </c>
      <c r="O25" s="3">
        <f>SUM(O21:O24)</f>
        <v>1876927</v>
      </c>
      <c r="P25" s="3">
        <f>SUM(P21:P24)</f>
        <v>1716000</v>
      </c>
      <c r="Q25" s="3">
        <f>SUM(Q21:Q24)</f>
        <v>1670000</v>
      </c>
      <c r="U25" t="s">
        <v>46</v>
      </c>
      <c r="V25" s="3">
        <f xml:space="preserve">
IF(N(インプット表!$J$31)&lt;=2000, 0,
   (N(インプット表!$J$31)-2000) * $AA$56 * IF($V$6, マスター!$M$20, マスター!$O$20)
)</f>
        <v>100451.68799999999</v>
      </c>
      <c r="W25" s="3">
        <f xml:space="preserve">
IF(N(インプット表!$K$31)&lt;=2000, 0,
   (N(インプット表!$K$31)-2000) * $AB$56 * IF($W$6, マスター!$M$20, マスター!$O$20)
)</f>
        <v>14681.36</v>
      </c>
      <c r="X25" s="12">
        <v>0</v>
      </c>
    </row>
    <row r="26" spans="1:28" x14ac:dyDescent="0.45">
      <c r="U26" t="s">
        <v>53</v>
      </c>
      <c r="V26" t="s">
        <v>54</v>
      </c>
      <c r="Z26" s="3" t="s">
        <v>133</v>
      </c>
    </row>
    <row r="27" spans="1:28" x14ac:dyDescent="0.45">
      <c r="A27" t="s">
        <v>20</v>
      </c>
      <c r="C27" s="3">
        <f>インプット表!C19</f>
        <v>0</v>
      </c>
      <c r="E27" s="3">
        <f>_xlfn.LET(
  _xlpm.listed_transfer, C27,
  _xlpm.listed_dividend_pos, MAX(0, C28),
  _xlpm.use_dividend, MIN(_xlpm.listed_dividend_pos, MAX(0, -_xlpm.listed_transfer)),
  _xlpm.listed_transfer + _xlpm.use_dividend
)</f>
        <v>0</v>
      </c>
      <c r="L27" t="s">
        <v>70</v>
      </c>
      <c r="U27" t="s">
        <v>45</v>
      </c>
      <c r="V27" s="3">
        <f>N($V$17)*0.2</f>
        <v>150456</v>
      </c>
      <c r="W27" s="3">
        <f>N($W$17)*0.2</f>
        <v>42060</v>
      </c>
      <c r="X27" s="12">
        <v>0</v>
      </c>
      <c r="Z27" s="3" t="s">
        <v>134</v>
      </c>
      <c r="AA27" s="3" t="s">
        <v>130</v>
      </c>
      <c r="AB27" s="3" t="s">
        <v>131</v>
      </c>
    </row>
    <row r="28" spans="1:28" x14ac:dyDescent="0.45">
      <c r="A28" t="s">
        <v>24</v>
      </c>
      <c r="C28" s="3">
        <f>インプット表!C20</f>
        <v>0</v>
      </c>
      <c r="E28" s="3">
        <f>_xlfn.LET(
  _xlpm.listed_transfer, C27,
  _xlpm.listed_dividend_pos, MAX(0, C28),
  _xlpm.use_dividend, MIN(_xlpm.listed_dividend_pos, MAX(0, -_xlpm.listed_transfer)),
  MAX(0, C28 - _xlpm.use_dividend)
)</f>
        <v>0</v>
      </c>
      <c r="U28" t="s">
        <v>46</v>
      </c>
      <c r="V28" s="3">
        <f>N($V$18)*0.2</f>
        <v>100304</v>
      </c>
      <c r="W28" s="3">
        <f>N($W$18)*0.2</f>
        <v>28040</v>
      </c>
      <c r="X28" s="12">
        <v>0</v>
      </c>
    </row>
    <row r="29" spans="1:28" x14ac:dyDescent="0.45">
      <c r="L29" t="s">
        <v>71</v>
      </c>
      <c r="M29" t="s">
        <v>4</v>
      </c>
      <c r="N29" t="s">
        <v>5</v>
      </c>
      <c r="O29" s="3">
        <f>G21</f>
        <v>0</v>
      </c>
      <c r="P29" s="3">
        <f>G48</f>
        <v>0</v>
      </c>
      <c r="Q29" s="3">
        <f>G48</f>
        <v>0</v>
      </c>
      <c r="U29" t="s">
        <v>57</v>
      </c>
      <c r="V29" t="s">
        <v>58</v>
      </c>
    </row>
    <row r="30" spans="1:28" x14ac:dyDescent="0.45">
      <c r="N30" t="s">
        <v>8</v>
      </c>
      <c r="O30" s="3">
        <f>G22</f>
        <v>0</v>
      </c>
      <c r="P30" s="3">
        <f>G49</f>
        <v>0</v>
      </c>
      <c r="Q30" s="3">
        <f>G49</f>
        <v>0</v>
      </c>
      <c r="U30" t="s">
        <v>45</v>
      </c>
      <c r="V30" s="3">
        <f>MIN(N($V$24), N($V$27))</f>
        <v>150456</v>
      </c>
      <c r="W30" s="3">
        <f>ROUNDUP(MIN(N($W$24), N($W$27)),0)</f>
        <v>22023</v>
      </c>
      <c r="X30" s="12">
        <v>0</v>
      </c>
      <c r="Z30" s="3" t="s">
        <v>135</v>
      </c>
      <c r="AA30" s="3" t="s">
        <v>130</v>
      </c>
      <c r="AB30" s="3" t="s">
        <v>131</v>
      </c>
    </row>
    <row r="31" spans="1:28" x14ac:dyDescent="0.45">
      <c r="A31" t="s">
        <v>116</v>
      </c>
      <c r="M31" t="s">
        <v>11</v>
      </c>
      <c r="N31" t="s">
        <v>5</v>
      </c>
      <c r="O31" s="3">
        <f>G23</f>
        <v>0</v>
      </c>
      <c r="P31" s="3">
        <f>G50</f>
        <v>0</v>
      </c>
      <c r="Q31" s="3">
        <f>G50</f>
        <v>0</v>
      </c>
      <c r="U31" t="s">
        <v>46</v>
      </c>
      <c r="V31" s="3">
        <f>MIN(N($V$25), N($V$28))</f>
        <v>100304</v>
      </c>
      <c r="W31" s="3">
        <f>ROUNDUP(MIN(N($W$25),N($W$28)),0)</f>
        <v>14682</v>
      </c>
      <c r="X31" s="12">
        <v>0</v>
      </c>
      <c r="Z31" t="s">
        <v>14</v>
      </c>
      <c r="AA31" s="3">
        <f>O12-AA12</f>
        <v>0</v>
      </c>
      <c r="AB31" s="3">
        <f>P12-AB12</f>
        <v>0</v>
      </c>
    </row>
    <row r="32" spans="1:28" x14ac:dyDescent="0.45">
      <c r="N32" t="s">
        <v>13</v>
      </c>
      <c r="O32" s="3">
        <f>G24</f>
        <v>0</v>
      </c>
      <c r="P32" s="3">
        <f>G51</f>
        <v>0</v>
      </c>
      <c r="Q32" s="3">
        <f>G51</f>
        <v>0</v>
      </c>
      <c r="T32" t="s">
        <v>188</v>
      </c>
      <c r="V32" s="3" t="b">
        <f xml:space="preserve"> AND( インプット表!$J$33, インプット表!$J$34&lt;=5, NOT(インプット表!$J$35) )</f>
        <v>0</v>
      </c>
      <c r="W32" s="3" t="b">
        <f xml:space="preserve"> AND( インプット表!$K$33, インプット表!$K$34&lt;=5, NOT(インプット表!$K$35) )</f>
        <v>0</v>
      </c>
      <c r="X32" s="3" t="b">
        <f xml:space="preserve"> AND( インプット表!$K$33, インプット表!$K$34&lt;=5, NOT(インプット表!$K$35) )</f>
        <v>0</v>
      </c>
      <c r="Z32" t="s">
        <v>17</v>
      </c>
      <c r="AA32" s="3">
        <f>O13-AA13</f>
        <v>0</v>
      </c>
      <c r="AB32" s="3">
        <f>P13-AB13</f>
        <v>0</v>
      </c>
    </row>
    <row r="33" spans="1:28" x14ac:dyDescent="0.45">
      <c r="A33" t="s">
        <v>112</v>
      </c>
      <c r="N33" t="s">
        <v>16</v>
      </c>
      <c r="O33" s="3">
        <f>G25</f>
        <v>0</v>
      </c>
      <c r="P33" s="3">
        <f>G52</f>
        <v>0</v>
      </c>
      <c r="Q33" s="3">
        <f>G52</f>
        <v>0</v>
      </c>
      <c r="R33" s="5"/>
      <c r="U33" s="3" t="s">
        <v>185</v>
      </c>
      <c r="V33" s="5" cm="1">
        <f t="array" ref="V33" xml:space="preserve">
ROUNDUP(
IF($V$32,
MIN(MAX(0,N(インプット表!$J$31)-2000)*$AA$56*INDEX(マスター!$AA$4:$AA$8,MATCH(1,(計算結果!$AA$49&gt;=マスター!$X$4:$X$8)*(計算結果!$AA$49&lt;=IF(マスター!$Z$4:$Z$8="",1E+99,マスター!$Z$4:$Z$8)),0))*IF($V$6,4/5,3/5),
N($V$17)*0.2),
0
),0)</f>
        <v>0</v>
      </c>
      <c r="W33" s="5" cm="1">
        <f t="array" ref="W33" xml:space="preserve">
ROUNDUP(
IF($W$32,
MAX(0,N(インプット表!$K$31)-2000)*AB56*INDEX(マスター!$AA$4:$AA$8,MATCH(1,(計算結果!$AB$49&gt;=マスター!$X$4:$X$8)*(計算結果!$AB$49&lt;=IF(マスター!$Z$4:$Z$8="",1E+99,マスター!$Z$4:$Z$8)),0))*IF($W$6,4/5,3/5),
0
),0)</f>
        <v>0</v>
      </c>
      <c r="X33" s="12">
        <v>0</v>
      </c>
      <c r="Z33" t="s">
        <v>19</v>
      </c>
      <c r="AA33" s="3">
        <f>O14-AA14</f>
        <v>0</v>
      </c>
      <c r="AB33" s="3">
        <f>P14-AB14</f>
        <v>0</v>
      </c>
    </row>
    <row r="34" spans="1:28" x14ac:dyDescent="0.45">
      <c r="A34" t="s">
        <v>107</v>
      </c>
      <c r="C34" s="3" t="s">
        <v>108</v>
      </c>
      <c r="E34" s="3" t="s">
        <v>109</v>
      </c>
      <c r="G34" s="3" t="s">
        <v>110</v>
      </c>
      <c r="I34" s="3" t="s">
        <v>111</v>
      </c>
      <c r="M34" t="s">
        <v>18</v>
      </c>
      <c r="O34" s="3">
        <f>インプット表!C18</f>
        <v>0</v>
      </c>
      <c r="P34" s="3">
        <f>インプット表!D18</f>
        <v>0</v>
      </c>
      <c r="Q34" s="3">
        <f>インプット表!D18</f>
        <v>0</v>
      </c>
      <c r="T34"/>
      <c r="U34" s="3" t="s">
        <v>186</v>
      </c>
      <c r="V34" s="5" cm="1">
        <f t="array" ref="V34" xml:space="preserve">
ROUNDUP(
IF($V$32,
MIN(MAX(0,N(インプット表!$J$31)-2000)*$AA$56*INDEX(マスター!$AA$4:$AA$8,MATCH(1,(計算結果!$AA$49&gt;=マスター!$X$4:$X$8)*(計算結果!$AA$49&lt;=IF(マスター!$Z$4:$Z$8="",1E+99,マスター!$Z$4:$Z$8)),0))*IF($V$6,1/5,2/5),
N($V$18)*0.2),
0
),0)</f>
        <v>0</v>
      </c>
      <c r="W34" s="5" cm="1">
        <f t="array" ref="W34" xml:space="preserve">
ROUNDUP(
IF($W$32,
MIN(MAX(0,N(インプット表!$K$31)-2000)*AB56*INDEX(マスター!$AA$4:$AA$8,MATCH(1,(計算結果!$AB$49&gt;=マスター!$X$4:$X$8)*(計算結果!$AB$49&lt;=IF(マスター!$Z$4:$Z$8="",1E+99,マスター!$Z$4:$Z$8)),0))*IF($W$6,1/5,2/5),
N($W$18)*0.2),
0
),0)</f>
        <v>0</v>
      </c>
      <c r="X34" s="12">
        <v>0</v>
      </c>
      <c r="Z34" t="s">
        <v>47</v>
      </c>
      <c r="AA34" s="3">
        <f>O15-AA15</f>
        <v>0</v>
      </c>
      <c r="AB34" s="3">
        <f>P15-AB15</f>
        <v>0</v>
      </c>
    </row>
    <row r="35" spans="1:28" x14ac:dyDescent="0.45">
      <c r="A35" t="s">
        <v>104</v>
      </c>
      <c r="C35" s="3">
        <f>インプット表!D10</f>
        <v>0</v>
      </c>
      <c r="E35" s="3">
        <f>_xlfn.LET(
 _xlpm.st,C35, _xlpm.lt,C36,
 _xlpm.pre_st, IF(_xlpm.st*_xlpm.lt&lt;0, IF(ABS(_xlpm.st)&gt;=ABS(_xlpm.lt), _xlpm.st+_xlpm.lt, 0), _xlpm.st),
 _xlpm.pre_st
)</f>
        <v>0</v>
      </c>
      <c r="G35" s="3">
        <f>_xlfn.LET(
 _xlpm.ps, MAX(0,E35),
 MIN(500000, _xlpm.ps)
)</f>
        <v>0</v>
      </c>
      <c r="I35" s="3">
        <f>_xlfn.LET(
  _xlpm.short_init, E35 - G35,
  _xlpm.long_init,  E36 - G36,
  _xlpm.one_init,   MAX(0, E37 - G37),
  _xlpm.need_short, MAX(0, -_xlpm.short_init),
  _xlpm.use_long_for_short, MIN(MAX(0, _xlpm.long_init), _xlpm.need_short),
  _xlpm.rem_need_short, _xlpm.need_short - _xlpm.use_long_for_short,
  _xlpm.use_one_for_short,  MIN(_xlpm.one_init, _xlpm.rem_need_short),
  _xlpm.need_long, MAX(0, -_xlpm.long_init),
  _xlpm.use_short_for_long, MIN(MAX(0, _xlpm.short_init), _xlpm.need_long),
  _xlpm.rem_need_long, _xlpm.need_long - _xlpm.use_short_for_long,
  _xlpm.use_one_for_long,  MIN(_xlpm.one_init, _xlpm.rem_need_long),
  _xlpm.short_after, IF(_xlpm.short_init&lt;0,
                  _xlpm.short_init + _xlpm.use_long_for_short + _xlpm.use_one_for_short,
                  IF(_xlpm.long_init&lt;0,
                     _xlpm.short_init - _xlpm.use_short_for_long,
                     _xlpm.short_init
                  )
               ),
  _xlpm.short_after
)</f>
        <v>0</v>
      </c>
      <c r="M35" t="s">
        <v>20</v>
      </c>
      <c r="O35" s="3">
        <f>E27</f>
        <v>0</v>
      </c>
      <c r="P35" s="3">
        <f>E54</f>
        <v>0</v>
      </c>
      <c r="Q35" s="3">
        <f>E54</f>
        <v>0</v>
      </c>
      <c r="Z35" t="s">
        <v>29</v>
      </c>
      <c r="AA35" s="3">
        <f>O16-AA16</f>
        <v>0</v>
      </c>
      <c r="AB35" s="3">
        <f>P16-AB16</f>
        <v>0</v>
      </c>
    </row>
    <row r="36" spans="1:28" x14ac:dyDescent="0.45">
      <c r="A36" t="s">
        <v>105</v>
      </c>
      <c r="C36" s="3">
        <f>インプット表!D11</f>
        <v>0</v>
      </c>
      <c r="E36" s="3">
        <f>_xlfn.LET(
 _xlpm.st,C35, _xlpm.lt,C36,
 _xlpm.pre_lt, IF(_xlpm.st*_xlpm.lt&lt;0, IF(ABS(_xlpm.lt)&gt;ABS(_xlpm.st), _xlpm.st+_xlpm.lt, 0), _xlpm.lt),
 _xlpm.pre_lt
)</f>
        <v>0</v>
      </c>
      <c r="G36" s="3">
        <f>_xlfn.LET(
 _xlpm.ps, MAX(0,E35),
 _xlpm.pl, MAX(0,E36),
 _xlpm.pool, 500000 - MIN(500000, _xlpm.ps),
 MIN(_xlpm.pool, _xlpm.pl)
)</f>
        <v>0</v>
      </c>
      <c r="I36" s="3">
        <f>_xlfn.LET(
  _xlpm.short_init, E35 - G35,
  _xlpm.long_init,  E36 - G36,
  _xlpm.one_init,   MAX(0, E37 - G37),
  _xlpm.need_short, MAX(0, -_xlpm.short_init),
  _xlpm.use_long_for_short, MIN(MAX(0, _xlpm.long_init), _xlpm.need_short),
  _xlpm.need_long, MAX(0, -_xlpm.long_init),
  _xlpm.use_short_for_long, MIN(MAX(0, _xlpm.short_init), _xlpm.need_long),
  _xlpm.rem_need_long, _xlpm.need_long - _xlpm.use_short_for_long,
  _xlpm.use_one_for_long,  MIN(_xlpm.one_init, _xlpm.rem_need_long),
  _xlpm.long_after, IF(_xlpm.short_init&lt;0,
                 _xlpm.long_init - _xlpm.use_long_for_short,
                 IF(_xlpm.long_init&lt;0,
                    _xlpm.long_init + _xlpm.use_short_for_long + _xlpm.use_one_for_long,
                    _xlpm.long_init
                 )
              ),
  _xlpm.long_after
)</f>
        <v>0</v>
      </c>
      <c r="M36" t="s">
        <v>24</v>
      </c>
      <c r="O36" s="3">
        <f>E28</f>
        <v>0</v>
      </c>
      <c r="P36" s="3">
        <f>E55</f>
        <v>0</v>
      </c>
      <c r="Q36" s="3">
        <f>E55</f>
        <v>0</v>
      </c>
      <c r="T36" t="s">
        <v>184</v>
      </c>
      <c r="U36" t="s">
        <v>45</v>
      </c>
      <c r="V36" s="3">
        <f>ROUNDUP($V$21+IF($V$32,$V$33,$V$30),0)</f>
        <v>177216</v>
      </c>
      <c r="W36" s="3">
        <f>ROUNDUP($W$21+$W$33+$W$30,0)</f>
        <v>24783</v>
      </c>
      <c r="X36" s="12">
        <f>ROUNDDOWN(X21+X33,-2)</f>
        <v>0</v>
      </c>
      <c r="Z36" t="s">
        <v>31</v>
      </c>
      <c r="AA36" s="3">
        <f>O17-AA17</f>
        <v>0</v>
      </c>
      <c r="AB36" s="3">
        <f>P17-AB17</f>
        <v>0</v>
      </c>
    </row>
    <row r="37" spans="1:28" x14ac:dyDescent="0.45">
      <c r="A37" t="s">
        <v>106</v>
      </c>
      <c r="C37" s="3">
        <f>IF(インプット表!D12&lt;0,0,インプット表!D12)</f>
        <v>0</v>
      </c>
      <c r="E37" s="3">
        <f>C37</f>
        <v>0</v>
      </c>
      <c r="G37" s="3">
        <f>_xlfn.LET(
 _xlpm.pit, MAX(0,E37),
 MIN(500000, _xlpm.pit)
)</f>
        <v>0</v>
      </c>
      <c r="I37" s="3">
        <f>_xlfn.LET(
  _xlpm.short_init, E35 - G35,
  _xlpm.long_init,  E36 - G36,
  _xlpm.one_init,   MAX(0, E37 - G37),
  _xlpm.need_short, MAX(0, -_xlpm.short_init),
  _xlpm.use_long_for_short, MIN(MAX(0, _xlpm.long_init), _xlpm.need_short),
  _xlpm.rem_need_short, _xlpm.need_short - _xlpm.use_long_for_short,
  _xlpm.use_one_for_short,  MIN(_xlpm.one_init, _xlpm.rem_need_short),
  _xlpm.need_long, MAX(0, -_xlpm.long_init),
  _xlpm.use_short_for_long, MIN(MAX(0, _xlpm.short_init), _xlpm.need_long),
  _xlpm.rem_need_long, _xlpm.need_long - _xlpm.use_short_for_long,
  _xlpm.use_one_for_long,  MIN(_xlpm.one_init, _xlpm.rem_need_long),
  _xlpm.one_after, IF(_xlpm.short_init&lt;0,
                _xlpm.one_init - _xlpm.use_one_for_short,
                IF(_xlpm.long_init&lt;0,
                   _xlpm.one_init - _xlpm.use_one_for_long,
                   _xlpm.one_init
                )
             ),
  MAX(0, _xlpm.one_after)
)</f>
        <v>0</v>
      </c>
      <c r="M37" t="s">
        <v>26</v>
      </c>
      <c r="O37" s="3">
        <f>インプット表!C21</f>
        <v>0</v>
      </c>
      <c r="P37" s="3">
        <f>インプット表!D21</f>
        <v>0</v>
      </c>
      <c r="Q37" s="3">
        <f>インプット表!D21</f>
        <v>0</v>
      </c>
      <c r="U37" t="s">
        <v>46</v>
      </c>
      <c r="V37" s="3">
        <f>ROUNDUP($V$22+IF($V$32,$V$34,$V$31),0)</f>
        <v>118144</v>
      </c>
      <c r="W37" s="3">
        <f>ROUNDUP($W$22+$W$34+$W$31,0)</f>
        <v>16522</v>
      </c>
      <c r="X37" s="12">
        <f>ROUNDDOWN(X22+X34,-2)</f>
        <v>0</v>
      </c>
      <c r="Z37" t="s">
        <v>33</v>
      </c>
      <c r="AA37" s="3">
        <f>O18-AA18</f>
        <v>0</v>
      </c>
      <c r="AB37" s="3">
        <f>P18-AB18</f>
        <v>0</v>
      </c>
    </row>
    <row r="38" spans="1:28" x14ac:dyDescent="0.45">
      <c r="M38" t="s">
        <v>28</v>
      </c>
      <c r="O38" s="3">
        <f>J17</f>
        <v>0</v>
      </c>
      <c r="P38" s="3">
        <f>J44</f>
        <v>0</v>
      </c>
      <c r="Q38" s="3">
        <f>J44</f>
        <v>0</v>
      </c>
      <c r="U38" t="s">
        <v>48</v>
      </c>
      <c r="V38" s="3">
        <f>SUM(V36:V37)</f>
        <v>295360</v>
      </c>
      <c r="W38" s="3">
        <f>SUM(W36:W37)</f>
        <v>41305</v>
      </c>
      <c r="X38" s="12">
        <f>SUM(X36:X37)</f>
        <v>0</v>
      </c>
      <c r="Z38" s="3" t="s">
        <v>49</v>
      </c>
      <c r="AA38" s="3">
        <f>IF(AA6&gt;25000000,0,50000)</f>
        <v>50000</v>
      </c>
      <c r="AB38" s="3">
        <f>IF(AB6&gt;25000000,0,50000)</f>
        <v>50000</v>
      </c>
    </row>
    <row r="39" spans="1:28" ht="18" customHeight="1" x14ac:dyDescent="0.45">
      <c r="C39" s="3" t="s">
        <v>98</v>
      </c>
      <c r="E39" s="3" t="s">
        <v>99</v>
      </c>
      <c r="G39" s="3" t="s">
        <v>100</v>
      </c>
      <c r="I39" s="3" t="s">
        <v>101</v>
      </c>
      <c r="J39" s="3" t="s">
        <v>71</v>
      </c>
      <c r="M39" t="s">
        <v>30</v>
      </c>
      <c r="O39" s="3">
        <f>J18</f>
        <v>0</v>
      </c>
      <c r="P39" s="3">
        <f>J45</f>
        <v>0</v>
      </c>
      <c r="Q39" s="3">
        <f>J45</f>
        <v>0</v>
      </c>
      <c r="Z39" s="3" t="s">
        <v>132</v>
      </c>
      <c r="AA39" s="3">
        <f>IF(AA6&gt;25000000,0,SUM(AA31:AA38))</f>
        <v>50000</v>
      </c>
      <c r="AB39" s="3">
        <f>IF(AB6&gt;25000000,0,SUM(AB31:AB38))</f>
        <v>50000</v>
      </c>
    </row>
    <row r="40" spans="1:28" x14ac:dyDescent="0.45">
      <c r="A40" t="s">
        <v>84</v>
      </c>
      <c r="C40" s="3">
        <f>SUM(インプット表!D2,インプット表!D3,インプット表!D4,IF(インプット表!D5&lt;0,0,インプット表!D5),IF(インプット表!D6&lt;0,0,インプット表!D6),IF(インプット表!D7&lt;0,0,インプット表!D7),IF(インプット表!D8&lt;0,0,インプット表!D8),IF(インプット表!D9&lt;0,0,インプット表!D9))</f>
        <v>5000000</v>
      </c>
      <c r="D40" s="66" t="s">
        <v>113</v>
      </c>
      <c r="E40" s="3">
        <f>_xlfn.LET(
 _xlpm.econ,C40, _xlpm.shortT,C41, _xlpm.longT,C42, _xlpm.oneTime,C43,
 _xlpm.econ_pos,MAX(0,_xlpm.econ),
 _xlpm.lt_neg,MAX(0,-_xlpm.longT),
 _xlpm.st_neg,MAX(0,-_xlpm.shortT),
 _xlpm.use_econ,MIN(_xlpm.econ_pos, _xlpm.lt_neg+_xlpm.st_neg),
 _xlpm.lt_raise,MIN(_xlpm.use_econ, _xlpm.lt_neg),
 _xlpm.st_raise,MIN(_xlpm.use_econ-_xlpm.lt_raise, _xlpm.st_neg),
 _xlpm.econ_after, _xlpm.econ-(_xlpm.lt_raise+_xlpm.st_raise),
 _xlpm.st_after, _xlpm.shortT+_xlpm.st_raise,
 _xlpm.lt_after, _xlpm.longT+_xlpm.lt_raise,
 _xlpm.it_after, _xlpm.oneTime,
 _xlpm.econ_neg,MAX(0,-_xlpm.econ_after),
 _xlpm.use_from_st,MIN(MAX(0,_xlpm.st_after), _xlpm.econ_neg),
 _xlpm.use_from_lt,MIN(MAX(0,_xlpm.lt_after), _xlpm.econ_neg-_xlpm.use_from_st),
 _xlpm.use_from_it,MIN(MAX(0,_xlpm.it_after), _xlpm.econ_neg-_xlpm.use_from_st-_xlpm.use_from_lt),
 _xlpm.econ_after + _xlpm.use_from_st + _xlpm.use_from_lt + _xlpm.use_from_it
)</f>
        <v>5000000</v>
      </c>
      <c r="F40" s="67" t="s">
        <v>114</v>
      </c>
      <c r="G40" s="3">
        <f>_xlfn.LET(
 _xlpm.econ,E40, _xlpm.st,E41, _xlpm.lt,E42, _xlpm.it,E43, _xlpm.forest,E44,
 _xlpm.forest_pos,MAX(0,_xlpm.forest),
 _xlpm.forest_neg,MAX(0,-_xlpm.forest),
 _xlpm.ltNeg,MAX(0,-_xlpm.lt), _xlpm.stNeg,MAX(0,-_xlpm.st), _xlpm.econNeg,MAX(0,-_xlpm.econ),
 _xlpm.ltPos,MAX(0,_xlpm.lt),  _xlpm.stPos,MAX(0,_xlpm.st),  _xlpm.econPos,MAX(0,_xlpm.econ), _xlpm.itPos,MAX(0,_xlpm.it),
 _xlpm.use_lt_pos,  MIN(_xlpm.forest_pos, _xlpm.ltNeg),
 _xlpm.use_st_pos,  MIN(_xlpm.forest_pos-_xlpm.use_lt_pos, _xlpm.stNeg),
 _xlpm.use_econ_pos,MIN(_xlpm.forest_pos-_xlpm.use_lt_pos-_xlpm.use_st_pos, _xlpm.econNeg),
 _xlpm.econ_when_pos, _xlpm.econ + _xlpm.use_econ_pos,
 _xlpm.use_from_econ, MIN(_xlpm.econPos, _xlpm.forest_neg),
 _xlpm.use_from_st,   MIN(_xlpm.stPos,   _xlpm.forest_neg - _xlpm.use_from_econ),
 _xlpm.use_from_lt,   MIN(_xlpm.ltPos,   _xlpm.forest_neg - _xlpm.use_from_econ - _xlpm.use_from_st),
 _xlpm.use_from_it,   MIN(_xlpm.itPos,   _xlpm.forest_neg - _xlpm.use_from_econ - _xlpm.use_from_st - _xlpm.use_from_lt),
 _xlpm.econ_when_neg, _xlpm.econ - _xlpm.use_from_econ,
 IF(_xlpm.forest&gt;=0, _xlpm.econ_when_pos, _xlpm.econ_when_neg)
)</f>
        <v>5000000</v>
      </c>
      <c r="H40" s="67" t="s">
        <v>115</v>
      </c>
      <c r="I40" s="3">
        <f>_xlfn.LET(
 _xlpm.econ,G40, _xlpm.st,G41, _xlpm.lt,G42, _xlpm.it,G43, _xlpm.forest,G44, _xlpm.retire,G45,
 _xlpm.ret_pos,MAX(0,_xlpm.retire),
 _xlpm.neg_lt,MAX(0,-_xlpm.lt), _xlpm.neg_st,MAX(0,-_xlpm.st), _xlpm.neg_econ,MAX(0,-_xlpm.econ), _xlpm.neg_for,MAX(0,-_xlpm.forest),
 _xlpm.use_lt,MIN(_xlpm.ret_pos,_xlpm.neg_lt),
 _xlpm.use_st,MIN(_xlpm.ret_pos-_xlpm.use_lt,_xlpm.neg_st),
 _xlpm.use_econ,MIN(_xlpm.ret_pos-_xlpm.use_lt-_xlpm.use_st,_xlpm.neg_econ),
 _xlpm.use_for,MIN(_xlpm.ret_pos-_xlpm.use_lt-_xlpm.use_st-_xlpm.use_econ,_xlpm.neg_for),
 _xlpm.econ + _xlpm.use_econ
)</f>
        <v>5000000</v>
      </c>
      <c r="J40" s="3">
        <f>I40</f>
        <v>5000000</v>
      </c>
      <c r="L40" t="s">
        <v>82</v>
      </c>
      <c r="M40" s="2" t="s">
        <v>72</v>
      </c>
      <c r="O40" s="3">
        <f>O6</f>
        <v>13831070</v>
      </c>
      <c r="P40" s="3">
        <f>P6</f>
        <v>5000000</v>
      </c>
      <c r="Q40" s="3">
        <f>Q6</f>
        <v>5000000</v>
      </c>
      <c r="T40"/>
    </row>
    <row r="41" spans="1:28" x14ac:dyDescent="0.45">
      <c r="A41" t="s">
        <v>95</v>
      </c>
      <c r="C41" s="3">
        <f>I35</f>
        <v>0</v>
      </c>
      <c r="D41" s="66"/>
      <c r="E41" s="3">
        <f>_xlfn.LET(
 _xlpm.econ,C40, _xlpm.shortT,C41, _xlpm.longT,C42, _xlpm.oneTime,C43,
 _xlpm.econ_pos,MAX(0,_xlpm.econ),
 _xlpm.lt_neg,MAX(0,-_xlpm.longT),
 _xlpm.st_neg,MAX(0,-_xlpm.shortT),
 _xlpm.use_econ,MIN(_xlpm.econ_pos, _xlpm.lt_neg+_xlpm.st_neg),
 _xlpm.lt_raise,MIN(_xlpm.use_econ, _xlpm.lt_neg),
 _xlpm.st_raise,MIN(_xlpm.use_econ-_xlpm.lt_raise, _xlpm.st_neg),
 _xlpm.econ_after, _xlpm.econ-(_xlpm.lt_raise+_xlpm.st_raise),
 _xlpm.st_after, _xlpm.shortT+_xlpm.st_raise,
 _xlpm.econ_neg,MAX(0,-_xlpm.econ_after),
 _xlpm.use_from_st,MIN(MAX(0,_xlpm.st_after), _xlpm.econ_neg),
 _xlpm.st_after - _xlpm.use_from_st
)</f>
        <v>0</v>
      </c>
      <c r="F41" s="68"/>
      <c r="G41" s="3">
        <f>_xlfn.LET(
 _xlpm.econ,E40, _xlpm.st,E41, _xlpm.lt,E42, _xlpm.it,E43, _xlpm.forest,E44,
 _xlpm.forest_pos,MAX(0,_xlpm.forest),
 _xlpm.forest_neg,MAX(0,-_xlpm.forest),
 _xlpm.ltNeg,MAX(0,-_xlpm.lt), _xlpm.stNeg,MAX(0,-_xlpm.st),
 _xlpm.ltPos,MAX(0,_xlpm.lt),  _xlpm.stPos,MAX(0,_xlpm.st), _xlpm.itPos,MAX(0,_xlpm.it), _xlpm.econPos,MAX(0,_xlpm.econ),
 _xlpm.use_lt_pos,  MIN(_xlpm.forest_pos, _xlpm.ltNeg),
 _xlpm.use_st_pos,  MIN(_xlpm.forest_pos-_xlpm.use_lt_pos, _xlpm.stNeg),
 _xlpm.st_when_pos, _xlpm.st + _xlpm.use_st_pos,
 _xlpm.use_from_econ, MIN(_xlpm.econPos, _xlpm.forest_neg),
 _xlpm.use_from_st,   MIN(_xlpm.stPos,   _xlpm.forest_neg - _xlpm.use_from_econ),
 _xlpm.st_when_neg, _xlpm.st - _xlpm.use_from_st,
 IF(_xlpm.forest&gt;=0, _xlpm.st_when_pos, _xlpm.st_when_neg)
)</f>
        <v>0</v>
      </c>
      <c r="H41" s="68"/>
      <c r="I41" s="3">
        <f>_xlfn.LET(
 _xlpm.econ,G40, _xlpm.st,G41, _xlpm.lt,G42, _xlpm.it,G43, _xlpm.forest,G44, _xlpm.retire,G45,
 _xlpm.ret_pos,MAX(0,_xlpm.retire),
 _xlpm.neg_lt,MAX(0,-_xlpm.lt), _xlpm.neg_st,MAX(0,-_xlpm.st), _xlpm.neg_econ,MAX(0,-_xlpm.econ), _xlpm.neg_for,MAX(0,-_xlpm.forest),
 _xlpm.use_lt,MIN(_xlpm.ret_pos,_xlpm.neg_lt),
 _xlpm.use_st,MIN(_xlpm.ret_pos-_xlpm.use_lt,_xlpm.neg_st),
 _xlpm.st + _xlpm.use_st
)</f>
        <v>0</v>
      </c>
      <c r="J41" s="3">
        <f t="shared" ref="J41:J45" si="4">I41</f>
        <v>0</v>
      </c>
      <c r="M41" s="2" t="s">
        <v>73</v>
      </c>
      <c r="O41" s="3">
        <f>MIN(O25, O40)</f>
        <v>1876927</v>
      </c>
      <c r="P41" s="3">
        <f>MIN(P25, P40)</f>
        <v>1716000</v>
      </c>
      <c r="Q41" s="3">
        <f>Q25</f>
        <v>1670000</v>
      </c>
      <c r="T41"/>
      <c r="Z41" t="s">
        <v>187</v>
      </c>
      <c r="AA41" t="s">
        <v>0</v>
      </c>
      <c r="AB41" t="s">
        <v>1</v>
      </c>
    </row>
    <row r="42" spans="1:28" x14ac:dyDescent="0.45">
      <c r="A42" t="s">
        <v>96</v>
      </c>
      <c r="C42" s="3">
        <f>I36</f>
        <v>0</v>
      </c>
      <c r="D42" s="66"/>
      <c r="E42" s="3">
        <f>_xlfn.LET(
 _xlpm.econ,C40, _xlpm.shortT,C41, _xlpm.longT,C42, _xlpm.oneTime,C43,
 _xlpm.econ_pos,MAX(0,_xlpm.econ),
 _xlpm.lt_neg,MAX(0,-_xlpm.longT),
 _xlpm.st_neg,MAX(0,-_xlpm.shortT),
 _xlpm.use_econ,MIN(_xlpm.econ_pos, _xlpm.lt_neg+_xlpm.st_neg),
 _xlpm.lt_raise,MIN(_xlpm.use_econ, _xlpm.lt_neg),
 _xlpm.st_raise,MIN(_xlpm.use_econ-_xlpm.lt_raise, _xlpm.st_neg),
 _xlpm.econ_after, _xlpm.econ-(_xlpm.lt_raise+_xlpm.st_raise),
 _xlpm.lt_after, _xlpm.longT+_xlpm.lt_raise,
 _xlpm.econ_neg,MAX(0,-_xlpm.econ_after),
 _xlpm.use_from_st,MIN(MAX(0,_xlpm.shortT+_xlpm.st_raise), _xlpm.econ_neg),
 _xlpm.use_from_lt,MIN(MAX(0,_xlpm.lt_after), _xlpm.econ_neg-_xlpm.use_from_st),
 _xlpm.lt_after - _xlpm.use_from_lt
)</f>
        <v>0</v>
      </c>
      <c r="F42" s="68"/>
      <c r="G42" s="3">
        <f>_xlfn.LET(
 _xlpm.econ,E40, _xlpm.st,E41, _xlpm.lt,E42, _xlpm.it,E43, _xlpm.forest,E44,
 _xlpm.forest_pos,MAX(0,_xlpm.forest),
 _xlpm.forest_neg,MAX(0,-_xlpm.forest),
 _xlpm.ltNeg,MAX(0,-_xlpm.lt), _xlpm.stNeg,MAX(0,-_xlpm.st),
 _xlpm.ltPos,MAX(0,_xlpm.lt),  _xlpm.stPos,MAX(0,_xlpm.st), _xlpm.itPos,MAX(0,_xlpm.it), _xlpm.econPos,MAX(0,_xlpm.econ),
 _xlpm.use_lt_pos,  MIN(_xlpm.forest_pos, _xlpm.ltNeg),
 _xlpm.lt_when_pos, _xlpm.lt + _xlpm.use_lt_pos,
 _xlpm.use_from_econ, MIN(_xlpm.econPos, _xlpm.forest_neg),
 _xlpm.use_from_st,   MIN(_xlpm.stPos,   _xlpm.forest_neg - _xlpm.use_from_econ),
 _xlpm.use_from_lt,   MIN(_xlpm.ltPos,   _xlpm.forest_neg - _xlpm.use_from_econ - _xlpm.use_from_st),
 _xlpm.lt_when_neg, _xlpm.lt - _xlpm.use_from_lt,
 IF(_xlpm.forest&gt;=0, _xlpm.lt_when_pos, _xlpm.lt_when_neg)
)</f>
        <v>0</v>
      </c>
      <c r="H42" s="68"/>
      <c r="I42" s="3">
        <f>_xlfn.LET(
 _xlpm.econ,G40, _xlpm.st,G41, _xlpm.lt,G42, _xlpm.it,G43, _xlpm.forest,G44, _xlpm.retire,G45,
 _xlpm.ret_pos,MAX(0,_xlpm.retire),
 _xlpm.neg_lt,MAX(0,-_xlpm.lt), _xlpm.neg_st,MAX(0,-_xlpm.st), _xlpm.neg_econ,MAX(0,-_xlpm.econ), _xlpm.neg_for,MAX(0,-_xlpm.forest),
 _xlpm.use_lt,MIN(_xlpm.ret_pos,_xlpm.neg_lt),
 _xlpm.lt + _xlpm.use_lt
)</f>
        <v>0</v>
      </c>
      <c r="J42" s="3">
        <f>I42/2</f>
        <v>0</v>
      </c>
      <c r="M42" s="2" t="s">
        <v>74</v>
      </c>
      <c r="O42" s="3">
        <f>ROUNDDOWN(O40 - O41,-3)</f>
        <v>11954000</v>
      </c>
      <c r="P42" s="3">
        <f>ROUNDDOWN(P40 - P41,-3)</f>
        <v>3284000</v>
      </c>
      <c r="Q42" s="3">
        <f>ROUNDDOWN(Q40 - Q41,-3)</f>
        <v>3330000</v>
      </c>
      <c r="T42"/>
      <c r="Z42" t="s">
        <v>149</v>
      </c>
      <c r="AA42" s="5">
        <f>INDEX($O:$O, MATCH("総合課税",$M:$M,0))</f>
        <v>11954000</v>
      </c>
      <c r="AB42" s="5">
        <f>INDEX($P:$P, MATCH("総合課税",$M:$M,0))</f>
        <v>3284000</v>
      </c>
    </row>
    <row r="43" spans="1:28" x14ac:dyDescent="0.45">
      <c r="A43" t="s">
        <v>85</v>
      </c>
      <c r="C43" s="3">
        <f>I37</f>
        <v>0</v>
      </c>
      <c r="D43" s="66"/>
      <c r="E43" s="3">
        <f>_xlfn.LET(
 _xlpm.econ,C40, _xlpm.shortT,C41, _xlpm.longT,C42, _xlpm.oneTime,C43,
 _xlpm.econ_pos,MAX(0,_xlpm.econ),
 _xlpm.lt_neg,MAX(0,-_xlpm.longT),
 _xlpm.st_neg,MAX(0,-_xlpm.shortT),
 _xlpm.use_econ,MIN(_xlpm.econ_pos, _xlpm.lt_neg+_xlpm.st_neg),
 _xlpm.lt_raise,MIN(_xlpm.use_econ, _xlpm.lt_neg),
 _xlpm.st_raise,MIN(_xlpm.use_econ-_xlpm.lt_raise, _xlpm.st_neg),
 _xlpm.econ_after, _xlpm.econ-(_xlpm.lt_raise+_xlpm.st_raise),
 _xlpm.st_after, _xlpm.shortT+_xlpm.st_raise,
 _xlpm.lt_after, _xlpm.longT+_xlpm.lt_raise,
 _xlpm.it_after, _xlpm.oneTime,
 _xlpm.econ_neg,MAX(0,-_xlpm.econ_after),
 _xlpm.use_from_st,MIN(MAX(0,_xlpm.st_after), _xlpm.econ_neg),
 _xlpm.use_from_lt,MIN(MAX(0,_xlpm.lt_after), _xlpm.econ_neg-_xlpm.use_from_st),
 _xlpm.use_from_it,MIN(MAX(0,_xlpm.it_after), _xlpm.econ_neg-_xlpm.use_from_st-_xlpm.use_from_lt),
 MAX(0, _xlpm.it_after - _xlpm.use_from_it)
)</f>
        <v>0</v>
      </c>
      <c r="F43" s="68"/>
      <c r="G43" s="3">
        <f>_xlfn.LET(
 _xlpm.econ,E40, _xlpm.st,E41, _xlpm.lt,E42, _xlpm.it,E43, _xlpm.forest,E44,
 _xlpm.forest_pos,MAX(0,_xlpm.forest),
 _xlpm.forest_neg,MAX(0,-_xlpm.forest),
 _xlpm.ltNeg,MAX(0,-_xlpm.lt), _xlpm.stNeg,MAX(0,-_xlpm.st), _xlpm.econNeg,MAX(0,-_xlpm.econ),
 _xlpm.ltPos,MAX(0,_xlpm.lt),  _xlpm.stPos,MAX(0,_xlpm.st),  _xlpm.econPos,MAX(0,_xlpm.econ), _xlpm.itPos,MAX(0,_xlpm.it),
 _xlpm.use_lt_pos,  MIN(_xlpm.forest_pos, _xlpm.ltNeg),
 _xlpm.use_st_pos,  MIN(_xlpm.forest_pos-_xlpm.use_lt_pos, _xlpm.stNeg),
 _xlpm.use_econ_pos,MIN(_xlpm.forest_pos-_xlpm.use_lt_pos-_xlpm.use_st_pos, _xlpm.econNeg),
 _xlpm.it_when_pos, _xlpm.it,
 _xlpm.use_from_econ, MIN(_xlpm.econPos, _xlpm.forest_neg),
 _xlpm.use_from_st,   MIN(_xlpm.stPos,   _xlpm.forest_neg - _xlpm.use_from_econ),
 _xlpm.use_from_lt,   MIN(_xlpm.ltPos,   _xlpm.forest_neg - _xlpm.use_from_econ - _xlpm.use_from_st),
 _xlpm.use_from_it,   MIN(_xlpm.itPos,   _xlpm.forest_neg - _xlpm.use_from_econ - _xlpm.use_from_st - _xlpm.use_from_lt),
 _xlpm.it_when_neg, MAX(0, _xlpm.it - _xlpm.use_from_it),
 IF(_xlpm.forest&gt;=0, _xlpm.it_when_pos, _xlpm.it_when_neg)
)</f>
        <v>0</v>
      </c>
      <c r="H43" s="68"/>
      <c r="I43" s="3">
        <f>_xlfn.LET(
 _xlpm.it,G43,
 _xlpm.it
)</f>
        <v>0</v>
      </c>
      <c r="J43" s="3">
        <f>I43/2</f>
        <v>0</v>
      </c>
      <c r="M43" s="2" t="s">
        <v>75</v>
      </c>
      <c r="O43" s="3">
        <f>ROUNDDOWN(SUM(O29:O30),-3)</f>
        <v>0</v>
      </c>
      <c r="P43" s="3">
        <f>ROUNDDOWN(SUM(P29:P30),-3)</f>
        <v>0</v>
      </c>
      <c r="Q43" s="3">
        <f>ROUNDDOWN(SUM(Q29:Q30),-3)</f>
        <v>0</v>
      </c>
      <c r="T43"/>
      <c r="Z43" t="s">
        <v>150</v>
      </c>
      <c r="AA43">
        <f>INDEX($O:$O, MATCH("山林所得金額",$M:$M,0))</f>
        <v>0</v>
      </c>
      <c r="AB43">
        <f>INDEX($P:$P, MATCH("山林所得金額",$M:$M,0))</f>
        <v>0</v>
      </c>
    </row>
    <row r="44" spans="1:28" x14ac:dyDescent="0.45">
      <c r="A44" t="s">
        <v>28</v>
      </c>
      <c r="C44" s="3">
        <f>インプット表!D22</f>
        <v>0</v>
      </c>
      <c r="E44" s="3">
        <f>C44</f>
        <v>0</v>
      </c>
      <c r="F44" s="69"/>
      <c r="G44" s="3">
        <f>_xlfn.LET(
 _xlpm.econ,E40, _xlpm.st,E41, _xlpm.lt,E42, _xlpm.it,E43, _xlpm.forest,E44,
 _xlpm.forest_pos,MAX(0,_xlpm.forest),
 _xlpm.forest_neg,MAX(0,-_xlpm.forest),
 _xlpm.ltNeg,MAX(0,-_xlpm.lt), _xlpm.stNeg,MAX(0,-_xlpm.st), _xlpm.econNeg,MAX(0,-_xlpm.econ),
 _xlpm.ltPos,MAX(0,_xlpm.lt),  _xlpm.stPos,MAX(0,_xlpm.st),  _xlpm.econPos,MAX(0,_xlpm.econ), _xlpm.itPos,MAX(0,_xlpm.it),
 _xlpm.use_lt_pos,  MIN(_xlpm.forest_pos, _xlpm.ltNeg),
 _xlpm.use_st_pos,  MIN(_xlpm.forest_pos-_xlpm.use_lt_pos, _xlpm.stNeg),
 _xlpm.use_econ_pos,MIN(_xlpm.forest_pos-_xlpm.use_lt_pos-_xlpm.use_st_pos, _xlpm.econNeg),
 _xlpm.forest_after_pos, _xlpm.forest - (_xlpm.use_lt_pos + _xlpm.use_st_pos + _xlpm.use_econ_pos),
 _xlpm.use_from_econ, MIN(_xlpm.econPos, _xlpm.forest_neg),
 _xlpm.use_from_st,   MIN(_xlpm.stPos,   _xlpm.forest_neg - _xlpm.use_from_econ),
 _xlpm.use_from_lt,   MIN(_xlpm.ltPos,   _xlpm.forest_neg - _xlpm.use_from_econ - _xlpm.use_from_st),
 _xlpm.use_from_it,   MIN(_xlpm.itPos,   _xlpm.forest_neg - _xlpm.use_from_econ - _xlpm.use_from_st - _xlpm.use_from_lt),
 _xlpm.forest_after_neg, _xlpm.forest + (_xlpm.use_from_econ + _xlpm.use_from_st + _xlpm.use_from_lt + _xlpm.use_from_it),
 IF(_xlpm.forest&gt;=0, _xlpm.forest_after_pos, _xlpm.forest_after_neg)
)</f>
        <v>0</v>
      </c>
      <c r="H44" s="68"/>
      <c r="I44" s="3">
        <f>_xlfn.LET(
 _xlpm.econ,G40, _xlpm.st,G41, _xlpm.lt,G42, _xlpm.it,G43, _xlpm.forest,G44, _xlpm.retire,G45,
 _xlpm.ret_pos,MAX(0,_xlpm.retire),
 _xlpm.neg_lt,MAX(0,-_xlpm.lt), _xlpm.neg_st,MAX(0,-_xlpm.st), _xlpm.neg_econ,MAX(0,-_xlpm.econ), _xlpm.neg_for,MAX(0,-_xlpm.forest),
 _xlpm.use_lt,MIN(_xlpm.ret_pos,_xlpm.neg_lt),
 _xlpm.use_st,MIN(_xlpm.ret_pos-_xlpm.use_lt,_xlpm.neg_st),
 _xlpm.use_econ,MIN(_xlpm.ret_pos-_xlpm.use_lt-_xlpm.use_st,_xlpm.neg_econ),
 _xlpm.use_for,MIN(_xlpm.ret_pos-_xlpm.use_lt-_xlpm.use_st-_xlpm.use_econ,_xlpm.neg_for),
 _xlpm.forest + _xlpm.use_for
)</f>
        <v>0</v>
      </c>
      <c r="J44" s="3">
        <f t="shared" si="4"/>
        <v>0</v>
      </c>
      <c r="M44" s="2" t="s">
        <v>76</v>
      </c>
      <c r="O44" s="3">
        <f>ROUNDDOWN(SUM(O31:O33),-3)</f>
        <v>0</v>
      </c>
      <c r="P44" s="3">
        <f>ROUNDDOWN(SUM(P31:P33),-3)</f>
        <v>0</v>
      </c>
      <c r="Q44" s="3">
        <f>ROUNDDOWN(SUM(Q31:Q33),-3)</f>
        <v>0</v>
      </c>
      <c r="Z44" t="s">
        <v>151</v>
      </c>
      <c r="AA44">
        <f>INDEX($O:$O, MATCH("退職所得金額",$M:$M,0))</f>
        <v>0</v>
      </c>
      <c r="AB44">
        <f>INDEX($P:$P, MATCH("退職所得金額",$M:$M,0))</f>
        <v>0</v>
      </c>
    </row>
    <row r="45" spans="1:28" x14ac:dyDescent="0.45">
      <c r="A45" t="s">
        <v>30</v>
      </c>
      <c r="C45" s="3">
        <f>IF(インプット表!D23&lt;0,0,インプット表!D23)</f>
        <v>0</v>
      </c>
      <c r="E45" s="3">
        <f>C45</f>
        <v>0</v>
      </c>
      <c r="G45" s="3">
        <f>E45</f>
        <v>0</v>
      </c>
      <c r="H45" s="69"/>
      <c r="I45" s="3">
        <f>_xlfn.LET(
 _xlpm.econ,G40, _xlpm.st,G41, _xlpm.lt,G42, _xlpm.it,G43, _xlpm.forest,G44, _xlpm.retire,G45,
 _xlpm.ret_pos,MAX(0,_xlpm.retire),
 _xlpm.neg_lt,MAX(0,-_xlpm.lt), _xlpm.neg_st,MAX(0,-_xlpm.st), _xlpm.neg_econ,MAX(0,-_xlpm.econ), _xlpm.neg_for,MAX(0,-_xlpm.forest),
 _xlpm.use_lt,MIN(_xlpm.ret_pos,_xlpm.neg_lt),
 _xlpm.use_st,MIN(_xlpm.ret_pos-_xlpm.use_lt,_xlpm.neg_st),
 _xlpm.use_econ,MIN(_xlpm.ret_pos-_xlpm.use_lt-_xlpm.use_st,_xlpm.neg_econ),
 _xlpm.use_for,MIN(_xlpm.ret_pos-_xlpm.use_lt-_xlpm.use_st-_xlpm.use_econ,_xlpm.neg_for),
 _xlpm.retire - (_xlpm.use_lt + _xlpm.use_st + _xlpm.use_econ + _xlpm.use_for)
)</f>
        <v>0</v>
      </c>
      <c r="J45" s="3">
        <f t="shared" si="4"/>
        <v>0</v>
      </c>
      <c r="M45" s="2" t="s">
        <v>77</v>
      </c>
      <c r="O45" s="3">
        <f>ROUNDDOWN(SUM(O34:O35),-3)</f>
        <v>0</v>
      </c>
      <c r="P45" s="3">
        <f>ROUNDDOWN(SUM(P34:P35),-3)</f>
        <v>0</v>
      </c>
      <c r="Q45" s="3">
        <f>ROUNDDOWN(SUM(Q34:Q35),-3)</f>
        <v>0</v>
      </c>
      <c r="Z45" t="s">
        <v>152</v>
      </c>
      <c r="AA45">
        <f>MAX(0, N(INDEX($O:$O, MATCH("上場株式等に係る配当所得等の金額",$M:$M,0))))</f>
        <v>0</v>
      </c>
      <c r="AB45">
        <f>MAX(0, N(INDEX($P:$P, MATCH("上場株式等に係る配当所得等の金額",$M:$M,0))))</f>
        <v>0</v>
      </c>
    </row>
    <row r="46" spans="1:28" x14ac:dyDescent="0.45">
      <c r="I46" s="3" t="s">
        <v>117</v>
      </c>
      <c r="J46" s="3">
        <f>SUM(J40:J45)</f>
        <v>5000000</v>
      </c>
      <c r="M46" s="2" t="s">
        <v>78</v>
      </c>
      <c r="O46" s="3">
        <f t="shared" ref="O46:Q47" si="5">ROUNDDOWN(O36,-3)</f>
        <v>0</v>
      </c>
      <c r="P46" s="3">
        <f t="shared" si="5"/>
        <v>0</v>
      </c>
      <c r="Q46" s="3">
        <f t="shared" si="5"/>
        <v>0</v>
      </c>
      <c r="Z46" t="s">
        <v>153</v>
      </c>
      <c r="AA46">
        <f>MAX(0, N(INDEX($O:$O, MATCH("上場株式等に係る譲渡所得の金額",$M:$M,0))))</f>
        <v>0</v>
      </c>
      <c r="AB46">
        <f>MAX(0, N(INDEX($P:$P, MATCH("上場株式等に係る譲渡所得の金額",$M:$M,0))))</f>
        <v>0</v>
      </c>
    </row>
    <row r="47" spans="1:28" x14ac:dyDescent="0.45">
      <c r="M47" s="2" t="s">
        <v>79</v>
      </c>
      <c r="O47" s="3">
        <f t="shared" si="5"/>
        <v>0</v>
      </c>
      <c r="P47" s="3">
        <f t="shared" si="5"/>
        <v>0</v>
      </c>
      <c r="Q47" s="3">
        <f t="shared" si="5"/>
        <v>0</v>
      </c>
      <c r="Z47" t="s">
        <v>154</v>
      </c>
      <c r="AA47">
        <f>MAX(0, N(INDEX($O:$O, MATCH("短期譲渡所得金額",$M:$M,0))))</f>
        <v>0</v>
      </c>
      <c r="AB47">
        <f>MAX(0, N(INDEX($P:$P, MATCH("短期譲渡所得金額",$M:$M,0))))</f>
        <v>0</v>
      </c>
    </row>
    <row r="48" spans="1:28" x14ac:dyDescent="0.45">
      <c r="A48" t="s">
        <v>102</v>
      </c>
      <c r="B48" t="s">
        <v>5</v>
      </c>
      <c r="C48" s="3">
        <f>インプット表!D13</f>
        <v>0</v>
      </c>
      <c r="E48" s="3">
        <f>_xlfn.LET(
  _xlpm.short_general, C48,
  _xlpm.short_reduced, C49,
  _xlpm.short_general_after,
    IF(AND(_xlpm.short_general&gt;=0, _xlpm.short_reduced&lt;0),
       _xlpm.short_general - MIN(_xlpm.short_general, -_xlpm.short_reduced),
       IF(AND(_xlpm.short_general&lt;0, _xlpm.short_reduced&gt;=0),
          _xlpm.short_general + MIN(_xlpm.short_reduced, -_xlpm.short_general),
          _xlpm.short_general
       )
    ),
  _xlpm.short_general_after
)</f>
        <v>0</v>
      </c>
      <c r="G48" s="3">
        <f>_xlfn.LET(
  _xlpm.s_general, E48, _xlpm.s_reduced, E49,
  _xlpm.l_general, E50, _xlpm.l_reduced, E51, _xlpm.l_light, E52,
  _xlpm.short_need, MAX(0, -(MIN(0, _xlpm.s_general) + MIN(0, _xlpm.s_reduced))),
  _xlpm.long_need,  MAX(0, -(MIN(0, _xlpm.l_general) + MIN(0, _xlpm.l_reduced) + MIN(0, _xlpm.l_light))),
  _xlpm.give_lg, IF(AND(_xlpm.short_need&gt;0, _xlpm.long_need=0), MIN(MAX(0, _xlpm.l_general), _xlpm.short_need), 0),
  _xlpm.rem_s1,  IF(AND(_xlpm.short_need&gt;0, _xlpm.long_need=0), _xlpm.short_need - _xlpm.give_lg, 0),
  _xlpm.give_lr, IF(AND(_xlpm.short_need&gt;0, _xlpm.long_need=0), MIN(MAX(0, _xlpm.l_reduced), _xlpm.rem_s1), 0),
  _xlpm.rem_s2,  IF(AND(_xlpm.short_need&gt;0, _xlpm.long_need=0), _xlpm.rem_s1 - _xlpm.give_lr, 0),
  _xlpm.give_ll, IF(AND(_xlpm.short_need&gt;0, _xlpm.long_need=0), MIN(MAX(0, _xlpm.l_light), _xlpm.rem_s2), 0),
  _xlpm.total_to_short, _xlpm.give_lg + _xlpm.give_lr + _xlpm.give_ll,
  _xlpm.inc_s_general, MIN(MAX(0, -_xlpm.s_general), _xlpm.total_to_short),
  _xlpm.take_sg, IF(AND(_xlpm.long_need&gt;0, _xlpm.short_need=0), MIN(MAX(0, _xlpm.s_general), _xlpm.long_need), 0),
  _xlpm.rem_l1,  IF(AND(_xlpm.long_need&gt;0, _xlpm.short_need=0), _xlpm.long_need - _xlpm.take_sg, 0),
  _xlpm.take_sr, IF(AND(_xlpm.long_need&gt;0, _xlpm.short_need=0), MIN(MAX(0, _xlpm.s_reduced), _xlpm.rem_l1), 0),
  _xlpm.s_general + _xlpm.inc_s_general - _xlpm.take_sg
)</f>
        <v>0</v>
      </c>
      <c r="M48" s="2" t="s">
        <v>80</v>
      </c>
      <c r="O48" s="3">
        <f>ROUNDDOWN(MAX(0, O38 - MAX(0, O25 - O40)),-3)</f>
        <v>0</v>
      </c>
      <c r="P48" s="3">
        <f>ROUNDDOWN(MAX(0, P38 - MAX(0, P25 - P40)),-3)</f>
        <v>0</v>
      </c>
      <c r="Q48" s="3">
        <f>ROUNDDOWN(MAX(0, Q38 - MAX(0, Q25 - Q40)),-3)</f>
        <v>0</v>
      </c>
      <c r="Z48" t="s">
        <v>155</v>
      </c>
      <c r="AA48">
        <f>MAX(0, N(INDEX($O:$O, MATCH("長期譲渡所得金額",$M:$M,0))))</f>
        <v>0</v>
      </c>
      <c r="AB48">
        <f>MAX(0, N(INDEX($P:$P, MATCH("長期譲渡所得金額",$M:$M,0))))</f>
        <v>0</v>
      </c>
    </row>
    <row r="49" spans="1:32" x14ac:dyDescent="0.45">
      <c r="A49" s="2"/>
      <c r="B49" t="s">
        <v>8</v>
      </c>
      <c r="C49" s="3">
        <f>インプット表!D14</f>
        <v>0</v>
      </c>
      <c r="E49" s="3">
        <f>_xlfn.LET(
  _xlpm.short_general, C48,
  _xlpm.short_reduced, C49,
  _xlpm.short_reduced_after,
    IF(AND(_xlpm.short_general&gt;=0, _xlpm.short_reduced&lt;0),
       _xlpm.short_reduced + MIN(_xlpm.short_general, -_xlpm.short_reduced),
       IF(AND(_xlpm.short_general&lt;0, _xlpm.short_reduced&gt;=0),
          _xlpm.short_reduced - MIN(_xlpm.short_reduced, -_xlpm.short_general),
          _xlpm.short_reduced
       )
    ),
  _xlpm.short_reduced_after
)</f>
        <v>0</v>
      </c>
      <c r="G49" s="3">
        <f>_xlfn.LET(
  _xlpm.s_general, E48, _xlpm.s_reduced, E49,
  _xlpm.l_general, E50, _xlpm.l_reduced, E51, _xlpm.l_light, E52,
  _xlpm.short_need, MAX(0, -(MIN(0, _xlpm.s_general) + MIN(0, _xlpm.s_reduced))),
  _xlpm.long_need,  MAX(0, -(MIN(0, _xlpm.l_general) + MIN(0, _xlpm.l_reduced) + MIN(0, _xlpm.l_light))),
  _xlpm.give_lg, IF(AND(_xlpm.short_need&gt;0, _xlpm.long_need=0), MIN(MAX(0, _xlpm.l_general), _xlpm.short_need), 0),
  _xlpm.rem_s1,  IF(AND(_xlpm.short_need&gt;0, _xlpm.long_need=0), _xlpm.short_need - _xlpm.give_lg, 0),
  _xlpm.give_lr, IF(AND(_xlpm.short_need&gt;0, _xlpm.long_need=0), MIN(MAX(0, _xlpm.l_reduced), _xlpm.rem_s1), 0),
  _xlpm.rem_s2,  IF(AND(_xlpm.short_need&gt;0, _xlpm.long_need=0), _xlpm.rem_s1 - _xlpm.give_lr, 0),
  _xlpm.give_ll, IF(AND(_xlpm.short_need&gt;0, _xlpm.long_need=0), MIN(MAX(0, _xlpm.l_light), _xlpm.rem_s2), 0),
  _xlpm.total_to_short, _xlpm.give_lg + _xlpm.give_lr + _xlpm.give_ll,
  _xlpm.inc_s_general, MIN(MAX(0, -_xlpm.s_general), _xlpm.total_to_short),
  _xlpm.inc_s_reduced, MIN(MAX(0, -_xlpm.s_reduced), _xlpm.total_to_short - _xlpm.inc_s_general),
  _xlpm.take_sg, IF(AND(_xlpm.long_need&gt;0, _xlpm.short_need=0), MIN(MAX(0, _xlpm.s_general), _xlpm.long_need), 0),
  _xlpm.rem_l1,  IF(AND(_xlpm.long_need&gt;0, _xlpm.short_need=0), _xlpm.long_need - _xlpm.take_sg, 0),
  _xlpm.take_sr, IF(AND(_xlpm.long_need&gt;0, _xlpm.short_need=0), MIN(MAX(0, _xlpm.s_reduced), _xlpm.rem_l1), 0),
  _xlpm.s_reduced + _xlpm.inc_s_reduced - _xlpm.take_sr
)</f>
        <v>0</v>
      </c>
      <c r="M49" s="2" t="s">
        <v>81</v>
      </c>
      <c r="O49" s="3">
        <f>ROUNDDOWN(MAX(0, O39 - MAX(0, O25 - O40 - O38)),-3)</f>
        <v>0</v>
      </c>
      <c r="P49" s="3">
        <f>ROUNDDOWN(MAX(0, P39 - MAX(0, P25 - P40 - P38)),-3)</f>
        <v>0</v>
      </c>
      <c r="Q49" s="3">
        <f>ROUNDDOWN(MAX(0, Q39 - MAX(0, Q25 - Q40 - Q38)),-3)</f>
        <v>0</v>
      </c>
      <c r="Z49" t="s">
        <v>148</v>
      </c>
      <c r="AA49" s="14">
        <f>AA42-$AA$39</f>
        <v>11904000</v>
      </c>
      <c r="AB49" s="14">
        <f>AB42-$AB$39</f>
        <v>3234000</v>
      </c>
    </row>
    <row r="50" spans="1:32" x14ac:dyDescent="0.45">
      <c r="A50" t="s">
        <v>103</v>
      </c>
      <c r="B50" t="s">
        <v>5</v>
      </c>
      <c r="C50" s="3">
        <f>インプット表!D15</f>
        <v>0</v>
      </c>
      <c r="E50" s="3">
        <f>_xlfn.LET(
  _xlpm.long_general, C50,
  _xlpm.long_reduced, C51,
  _xlpm.long_light,   C52,
  _xlpm.need_general, MAX(0, -_xlpm.long_general),
  _xlpm.move_reduced_to_general, MIN(MAX(0, _xlpm.long_reduced), _xlpm.need_general),
  _xlpm.lg_a, _xlpm.long_general + _xlpm.move_reduced_to_general,
  _xlpm.lr_a, _xlpm.long_reduced - _xlpm.move_reduced_to_general,
  _xlpm.ll_a, _xlpm.long_light,
  _xlpm.need_general_2, MAX(0, -_xlpm.lg_a),
  _xlpm.move_light_to_general, MIN(MAX(0, _xlpm.ll_a), _xlpm.need_general_2),
  _xlpm.lg_b, _xlpm.lg_a + _xlpm.move_light_to_general,
  _xlpm.lr_b, _xlpm.lr_a,
  _xlpm.ll_b, _xlpm.ll_a - _xlpm.move_light_to_general,
  _xlpm.need_reduced, MAX(0, -_xlpm.lr_b),
  _xlpm.move_general_to_reduced, MIN(MAX(0, _xlpm.lg_b), _xlpm.need_reduced),
  _xlpm.lg_c, _xlpm.lg_b - _xlpm.move_general_to_reduced,
  _xlpm.lr_c, _xlpm.lr_b + _xlpm.move_general_to_reduced,
  _xlpm.need_reduced_2, MAX(0, -_xlpm.lr_c),
  _xlpm.move_light_to_reduced, MIN(MAX(0, _xlpm.ll_b), _xlpm.need_reduced_2),
  _xlpm.lg_d, _xlpm.lg_c,
  _xlpm.lr_d, _xlpm.lr_c + _xlpm.move_light_to_reduced,
  _xlpm.ll_c, _xlpm.ll_b - _xlpm.move_light_to_reduced,
  _xlpm.need_light, MAX(0, -_xlpm.ll_c),
  _xlpm.move_general_to_light, MIN(MAX(0, _xlpm.lg_d), _xlpm.need_light),
  _xlpm.lg_e, _xlpm.lg_d - _xlpm.move_general_to_light,
  _xlpm.ll_d, _xlpm.ll_c + _xlpm.move_general_to_light,
  _xlpm.need_light_2, MAX(0, -_xlpm.ll_d),
  _xlpm.move_reduced_to_light, MIN(MAX(0, _xlpm.lr_d), _xlpm.need_light_2),
  _xlpm.lg_e
)</f>
        <v>0</v>
      </c>
      <c r="G50" s="3">
        <f>_xlfn.LET(
  _xlpm.s_general, E48, _xlpm.s_reduced, E49,
  _xlpm.l_general, E50, _xlpm.l_reduced, E51, _xlpm.l_light, E52,
  _xlpm.short_need, MAX(0, -(MIN(0, _xlpm.s_general) + MIN(0, _xlpm.s_reduced))),
  _xlpm.long_need,  MAX(0, -(MIN(0, _xlpm.l_general) + MIN(0, _xlpm.l_reduced) + MIN(0, _xlpm.l_light))),
  _xlpm.give_lg, IF(AND(_xlpm.short_need&gt;0, _xlpm.long_need=0), MIN(MAX(0, _xlpm.l_general), _xlpm.short_need), 0),
  _xlpm.take_sg, IF(AND(_xlpm.long_need&gt;0, _xlpm.short_need=0), MIN(MAX(0, _xlpm.s_general), _xlpm.long_need), 0),
  _xlpm.rem_l1,  IF(AND(_xlpm.long_need&gt;0, _xlpm.short_need=0), _xlpm.long_need - _xlpm.take_sg, 0),
  _xlpm.take_sr, IF(AND(_xlpm.long_need&gt;0, _xlpm.short_need=0), MIN(MAX(0, _xlpm.s_reduced), _xlpm.rem_l1), 0),
  _xlpm.inc_l_general, MIN(MAX(0, -_xlpm.l_general), _xlpm.take_sg + _xlpm.take_sr),
  _xlpm.l_general - _xlpm.give_lg + _xlpm.inc_l_general
)</f>
        <v>0</v>
      </c>
      <c r="L50" t="s">
        <v>118</v>
      </c>
      <c r="M50" s="2" t="s">
        <v>74</v>
      </c>
      <c r="O50" s="3" cm="1">
        <f t="array" ref="O50">O42*INDEX(マスター!$D$3:$D$9,MATCH(1,(O42&gt;=マスター!$A$3:$A$9)*(O42&lt;=IF(マスター!$C$3:$C$9="",1E+99,マスター!$C$3:$C$9)),0))-INDEX(マスター!$E$3:$E$9,MATCH(1,(O42&gt;=マスター!$A$3:$A$9)*(O42&lt;=IF(マスター!$C$3:$C$9="",1E+99,マスター!$C$3:$C$9)),0))</f>
        <v>2408820</v>
      </c>
      <c r="P50" s="3" cm="1">
        <f t="array" ref="P50">P42*INDEX(マスター!$D$3:$D$9,MATCH(1,(P42&gt;=マスター!$A$3:$A$9)*(P42&lt;=IF(マスター!$C$3:$C$9="",1E+99,マスター!$C$3:$C$9)),0))-INDEX(マスター!$E$3:$E$9,MATCH(1,(P42&gt;=マスター!$A$3:$A$9)*(P42&lt;=IF(マスター!$C$3:$C$9="",1E+99,マスター!$C$3:$C$9)),0))</f>
        <v>230900</v>
      </c>
      <c r="Q50" s="3" cm="1">
        <f t="array" ref="Q50">Q42*INDEX(マスター!$D$3:$D$9,MATCH(1,(Q42&gt;=マスター!$A$3:$A$9)*(Q42&lt;=IF(マスター!$C$3:$C$9="",1E+99,マスター!$C$3:$C$9)),0))-INDEX(マスター!$E$3:$E$9,MATCH(1,(Q42&gt;=マスター!$A$3:$A$9)*(Q42&lt;=IF(マスター!$C$3:$C$9="",1E+99,マスター!$C$3:$C$9)),0))</f>
        <v>238500</v>
      </c>
      <c r="Z50" t="s">
        <v>156</v>
      </c>
      <c r="AA50">
        <f xml:space="preserve"> _xlfn.XLOOKUP(MAX(0, $AA$49), マスター!$S$4:$S$10, マスター!$V$4:$V$10, , 1)</f>
        <v>0.56306999999999996</v>
      </c>
      <c r="AB50">
        <f>LOOKUP($AB$49, マスター!$Q$4:$Q$10, マスター!$V$4:$V$10)</f>
        <v>0.79790000000000005</v>
      </c>
    </row>
    <row r="51" spans="1:32" x14ac:dyDescent="0.45">
      <c r="A51" s="2"/>
      <c r="B51" t="s">
        <v>13</v>
      </c>
      <c r="C51" s="3">
        <f>インプット表!D16</f>
        <v>0</v>
      </c>
      <c r="E51" s="3">
        <f>_xlfn.LET(
  _xlpm.long_general, C50,
  _xlpm.long_reduced, C51,
  _xlpm.long_light,   C52,
  _xlpm.need_general, MAX(0, -_xlpm.long_general),
  _xlpm.move_reduced_to_general, MIN(MAX(0, _xlpm.long_reduced), _xlpm.need_general),
  _xlpm.lg_a, _xlpm.long_general + _xlpm.move_reduced_to_general,
  _xlpm.lr_a, _xlpm.long_reduced - _xlpm.move_reduced_to_general,
  _xlpm.ll_a, _xlpm.long_light,
  _xlpm.need_general_2, MAX(0, -_xlpm.lg_a),
  _xlpm.move_light_to_general, MIN(MAX(0, _xlpm.ll_a), _xlpm.need_general_2),
  _xlpm.lg_b, _xlpm.lg_a + _xlpm.move_light_to_general,
  _xlpm.lr_b, _xlpm.lr_a,
  _xlpm.ll_b, _xlpm.ll_a - _xlpm.move_light_to_general,
  _xlpm.need_reduced, MAX(0, -_xlpm.lr_b),
  _xlpm.move_general_to_reduced, MIN(MAX(0, _xlpm.lg_b), _xlpm.need_reduced),
  _xlpm.lg_c, _xlpm.lg_b - _xlpm.move_general_to_reduced,
  _xlpm.lr_c, _xlpm.lr_b + _xlpm.move_general_to_reduced,
  _xlpm.need_reduced_2, MAX(0, -_xlpm.lr_c),
  _xlpm.move_light_to_reduced, MIN(MAX(0, _xlpm.ll_b), _xlpm.need_reduced_2),
  _xlpm.lr_d, _xlpm.lr_c + _xlpm.move_light_to_reduced,
  _xlpm.lr_d
)</f>
        <v>0</v>
      </c>
      <c r="G51" s="3">
        <f>_xlfn.LET(
  _xlpm.s_general, E48, _xlpm.s_reduced, E49,
  _xlpm.l_general, E50, _xlpm.l_reduced, E51, _xlpm.l_light, E52,
  _xlpm.short_need, MAX(0, -(MIN(0, _xlpm.s_general) + MIN(0, _xlpm.s_reduced))),
  _xlpm.long_need,  MAX(0, -(MIN(0, _xlpm.l_general) + MIN(0, _xlpm.l_reduced) + MIN(0, _xlpm.l_light))),
  _xlpm.give_lg, IF(AND(_xlpm.short_need&gt;0, _xlpm.long_need=0), MIN(MAX(0, _xlpm.l_general), _xlpm.short_need), 0),
  _xlpm.rem_s1,  IF(AND(_xlpm.short_need&gt;0, _xlpm.long_need=0), _xlpm.short_need - _xlpm.give_lg, 0),
  _xlpm.give_lr, IF(AND(_xlpm.short_need&gt;0, _xlpm.long_need=0), MIN(MAX(0, _xlpm.l_reduced), _xlpm.rem_s1), 0),
  _xlpm.take_sg, IF(AND(_xlpm.long_need&gt;0, _xlpm.short_need=0), MIN(MAX(0, _xlpm.s_general), _xlpm.long_need), 0),
  _xlpm.rem_l1,  IF(AND(_xlpm.long_need&gt;0, _xlpm.short_need=0), _xlpm.long_need - _xlpm.take_sg, 0),
  _xlpm.take_sr, IF(AND(_xlpm.long_need&gt;0, _xlpm.short_need=0), MIN(MAX(0, _xlpm.s_reduced), _xlpm.rem_l1), 0),
  _xlpm.inc_l_reduced, MIN(MAX(0, -_xlpm.l_reduced), _xlpm.take_sg + _xlpm.take_sr - MIN(MAX(0, -_xlpm.l_general), _xlpm.take_sg + _xlpm.take_sr)),
  _xlpm.l_reduced - _xlpm.give_lr + _xlpm.inc_l_reduced
)</f>
        <v>0</v>
      </c>
      <c r="M51" s="2" t="s">
        <v>75</v>
      </c>
      <c r="O51" s="3">
        <f>G21*30%+G22*15%</f>
        <v>0</v>
      </c>
      <c r="P51" s="3">
        <f>G48*30%+G49*15%</f>
        <v>0</v>
      </c>
      <c r="Q51" s="3">
        <f>G48*30%+G49*15%</f>
        <v>0</v>
      </c>
      <c r="Z51" t="s">
        <v>157</v>
      </c>
      <c r="AA51">
        <f>0.9</f>
        <v>0.9</v>
      </c>
      <c r="AB51">
        <f>0.9</f>
        <v>0.9</v>
      </c>
      <c r="AF51" s="3"/>
    </row>
    <row r="52" spans="1:32" x14ac:dyDescent="0.45">
      <c r="A52" s="2"/>
      <c r="B52" t="s">
        <v>16</v>
      </c>
      <c r="C52" s="3">
        <f>インプット表!D17</f>
        <v>0</v>
      </c>
      <c r="E52" s="3">
        <f>_xlfn.LET(
  _xlpm.long_general, C50,
  _xlpm.long_reduced, C51,
  _xlpm.long_light,   C52,
  _xlpm.need_general, MAX(0, -_xlpm.long_general),
  _xlpm.move_reduced_to_general, MIN(MAX(0, _xlpm.long_reduced), _xlpm.need_general),
  _xlpm.lg_a, _xlpm.long_general + _xlpm.move_reduced_to_general,
  _xlpm.lr_a, _xlpm.long_reduced - _xlpm.move_reduced_to_general,
  _xlpm.ll_a, _xlpm.long_light,
  _xlpm.need_general_2, MAX(0, -_xlpm.lg_a),
  _xlpm.move_light_to_general, MIN(MAX(0, _xlpm.ll_a), _xlpm.need_general_2),
  _xlpm.lg_b, _xlpm.lg_a + _xlpm.move_light_to_general,
  _xlpm.lr_b, _xlpm.lr_a,
  _xlpm.ll_b, _xlpm.ll_a - _xlpm.move_light_to_general,
  _xlpm.need_reduced, MAX(0, -_xlpm.lr_b),
  _xlpm.move_general_to_reduced, MIN(MAX(0, _xlpm.lg_b), _xlpm.need_reduced),
  _xlpm.lg_c, _xlpm.lg_b - _xlpm.move_general_to_reduced,
  _xlpm.lr_c, _xlpm.lr_b + _xlpm.move_general_to_reduced,
  _xlpm.need_reduced_2, MAX(0, -_xlpm.lr_c),
  _xlpm.move_light_to_reduced, MIN(MAX(0, _xlpm.ll_b), _xlpm.need_reduced_2),
  _xlpm.ll_c, _xlpm.ll_b - _xlpm.move_light_to_reduced,
  _xlpm.ll_c
)</f>
        <v>0</v>
      </c>
      <c r="G52" s="3">
        <f>_xlfn.LET(
  _xlpm.s_general, E48, _xlpm.s_reduced, E49,
  _xlpm.l_general, E50, _xlpm.l_reduced, E51, _xlpm.l_light, E52,
  _xlpm.short_need, MAX(0, -(MIN(0, _xlpm.s_general) + MIN(0, _xlpm.s_reduced))),
  _xlpm.long_need,  MAX(0, -(MIN(0, _xlpm.l_general) + MIN(0, _xlpm.l_reduced) + MIN(0, _xlpm.l_light))),
  _xlpm.give_lg, IF(AND(_xlpm.short_need&gt;0, _xlpm.long_need=0), MIN(MAX(0, _xlpm.l_general), _xlpm.short_need), 0),
  _xlpm.rem_s1,  IF(AND(_xlpm.short_need&gt;0, _xlpm.long_need=0), _xlpm.short_need - _xlpm.give_lg, 0),
  _xlpm.give_lr, IF(AND(_xlpm.short_need&gt;0, _xlpm.long_need=0), MIN(MAX(0, _xlpm.l_reduced), _xlpm.rem_s1), 0),
  _xlpm.rem_s2,  IF(AND(_xlpm.short_need&gt;0, _xlpm.long_need=0), _xlpm.rem_s1 - _xlpm.give_lr, 0),
  _xlpm.give_ll, IF(AND(_xlpm.short_need&gt;0, _xlpm.long_need=0), MIN(MAX(0, _xlpm.l_light), _xlpm.rem_s2), 0),
  _xlpm.take_sg, IF(AND(_xlpm.long_need&gt;0, _xlpm.short_need=0), MIN(MAX(0, _xlpm.s_general), _xlpm.long_need), 0),
  _xlpm.rem_l1,  IF(AND(_xlpm.long_need&gt;0, _xlpm.short_need=0), _xlpm.long_need - _xlpm.take_sg, 0),
  _xlpm.take_sr, IF(AND(_xlpm.long_need&gt;0, _xlpm.short_need=0), MIN(MAX(0, _xlpm.s_reduced), _xlpm.rem_l1), 0),
  _xlpm.inc_l_general, MIN(MAX(0, -_xlpm.l_general), _xlpm.take_sg + _xlpm.take_sr),
  _xlpm.inc_l_reduced, MIN(MAX(0, -_xlpm.l_reduced), _xlpm.take_sg + _xlpm.take_sr - _xlpm.inc_l_general),
  _xlpm.inc_l_light, MIN(MAX(0, -_xlpm.l_light), _xlpm.take_sg + _xlpm.take_sr - _xlpm.inc_l_general - _xlpm.inc_l_reduced),
  _xlpm.l_light - _xlpm.give_ll + _xlpm.inc_l_light
)</f>
        <v>0</v>
      </c>
      <c r="M52" s="2" t="s">
        <v>76</v>
      </c>
      <c r="O52" s="3">
        <f>G23*15%+IF(G24&lt;=20000000,G24*10%,(G24-20000000)*15%+2000000)+IF(G25&lt;=60000000,G25*10%,(G25-60000000)*15%+6000000)</f>
        <v>0</v>
      </c>
      <c r="P52" s="3">
        <f>G50*15%+IF(G51&lt;=20000000,G51*10%,(G51-20000000)*15%+2000000)+IF(G52&lt;=60000000,G52*10%,(G52-60000000)*15%+6000000)</f>
        <v>0</v>
      </c>
      <c r="Q52" s="3">
        <f>G50*15%+IF(G51&lt;=20000000,G51*10%,(G51-20000000)*15%+2000000)+IF(G52&lt;=60000000,G52*10%,(G52-60000000)*15%+6000000)</f>
        <v>0</v>
      </c>
      <c r="Z52" t="s">
        <v>158</v>
      </c>
      <c r="AA52" t="str">
        <f>IF(N($AA$43)&gt;0, LOOKUP(N($AA$43)/5, マスター!$Q$4:$Q$10, マスター!$V$4:$V$10), "")</f>
        <v/>
      </c>
      <c r="AB52" t="str">
        <f>IF(N($AB$43)&gt;0, LOOKUP(N($AB$43)/5, マスター!$Q$4:$Q$10, マスター!$V$4:$V$10), "")</f>
        <v/>
      </c>
      <c r="AF52" s="3"/>
    </row>
    <row r="53" spans="1:32" x14ac:dyDescent="0.45">
      <c r="M53" s="2" t="s">
        <v>77</v>
      </c>
      <c r="O53" s="3">
        <f>O45*15%</f>
        <v>0</v>
      </c>
      <c r="P53" s="3">
        <f>P45*15%</f>
        <v>0</v>
      </c>
      <c r="Q53" s="3">
        <f>Q45*15%</f>
        <v>0</v>
      </c>
      <c r="Z53" t="s">
        <v>159</v>
      </c>
      <c r="AA53" t="str">
        <f>IF(N($AA$44)&gt;0, LOOKUP(N($AA$44), マスター!$Q$4:$Q$10, マスター!$V$4:$V$10), "")</f>
        <v/>
      </c>
      <c r="AB53" t="str">
        <f>IF(N($AB$44)&gt;0, LOOKUP(N($AB$44), マスター!$Q$4:$Q$10, マスター!$V$4:$V$10), "")</f>
        <v/>
      </c>
    </row>
    <row r="54" spans="1:32" x14ac:dyDescent="0.45">
      <c r="A54" t="s">
        <v>20</v>
      </c>
      <c r="C54" s="3">
        <f>インプット表!D19</f>
        <v>0</v>
      </c>
      <c r="E54" s="3">
        <f>_xlfn.LET(
  _xlpm.listed_transfer, C54,
  _xlpm.listed_dividend_pos, MAX(0, C55),
  _xlpm.use_dividend, MIN(_xlpm.listed_dividend_pos, MAX(0, -_xlpm.listed_transfer)),
  _xlpm.listed_transfer + _xlpm.use_dividend
)</f>
        <v>0</v>
      </c>
      <c r="M54" s="2" t="s">
        <v>78</v>
      </c>
      <c r="O54" s="3">
        <f>O46*15%</f>
        <v>0</v>
      </c>
      <c r="P54" s="3">
        <f t="shared" ref="O54:P55" si="6">P46*15%</f>
        <v>0</v>
      </c>
      <c r="Q54" s="3">
        <f>Q46*15%</f>
        <v>0</v>
      </c>
      <c r="Z54" t="s">
        <v>160</v>
      </c>
      <c r="AA54" t="str">
        <f>IF(AND($AA52="", $AA53=""), "", MIN(IF($AA52="",1,$AA52), IF($AA53="",1,$AA53)))</f>
        <v/>
      </c>
      <c r="AB54" t="str">
        <f>IF(AND($AB52="", $AB53=""), "", MIN(IF($AB52="",1,$AB52), IF($AB53="",1,$AB53)))</f>
        <v/>
      </c>
    </row>
    <row r="55" spans="1:32" x14ac:dyDescent="0.45">
      <c r="A55" t="s">
        <v>24</v>
      </c>
      <c r="C55" s="3">
        <f>インプット表!D20</f>
        <v>0</v>
      </c>
      <c r="E55" s="3">
        <f>_xlfn.LET(
  _xlpm.listed_transfer, C54,
  _xlpm.listed_dividend_pos, MAX(0, C55),
  _xlpm.use_dividend, MIN(_xlpm.listed_dividend_pos, MAX(0, -_xlpm.listed_transfer)),
  MAX(0, C55 - _xlpm.use_dividend)
)</f>
        <v>0</v>
      </c>
      <c r="M55" s="2" t="s">
        <v>79</v>
      </c>
      <c r="O55" s="3">
        <f t="shared" si="6"/>
        <v>0</v>
      </c>
      <c r="P55" s="3">
        <f t="shared" si="6"/>
        <v>0</v>
      </c>
      <c r="Q55" s="3">
        <f>Q47*15%</f>
        <v>0</v>
      </c>
      <c r="Z55" t="s">
        <v>161</v>
      </c>
      <c r="AA55" t="str">
        <f xml:space="preserve">
IF(OR(N($AA$47)&gt;0, N($AA$48)&gt;0, N($AA$45)&gt;0, N($AA$46)&gt;0,),
   MIN(
     IF(N($AA$47)&gt;0, 0.5937, 1),
     IF(OR(N($AA$48)&gt;0, N($AA$45)&gt;0, N($AA$46)&gt;0), 0.74685, 1),
   ),
   ""
)</f>
        <v/>
      </c>
      <c r="AB55" t="str">
        <f xml:space="preserve">
IF(OR(N($AB$47)&gt;0, N($AB$48)&gt;0, N($AB$45)&gt;0, N($AB$46)&gt;0),
   MIN(
     IF(N($AB$47)&gt;0, 0.5937, 1),
     IF(OR(N($AB$48)&gt;0, N($AB$45)&gt;0, N($AB$46)&gt;0), 0.74685, 1)
   ),
   ""
)</f>
        <v/>
      </c>
    </row>
    <row r="56" spans="1:32" x14ac:dyDescent="0.45">
      <c r="M56" s="2" t="s">
        <v>80</v>
      </c>
      <c r="O56" s="3" cm="1">
        <f t="array" ref="O56">(O48/5*INDEX(マスター!$D$3:$D$9,MATCH(1,(O48/5&gt;=マスター!$A$3:$A$9)*(O48/5&lt;=IF(マスター!$C$3:$C$9="",1E+99,マスター!$C$3:$C$9)),0))-INDEX(マスター!$E$3:$E$9,MATCH(1,(O48/5&gt;=マスター!$A$3:$A$9)*(O48/5&lt;=IF(マスター!$C$3:$C$9="",1E+99,マスター!$C$3:$C$9)),0)))*5</f>
        <v>0</v>
      </c>
      <c r="P56" s="3" cm="1">
        <f t="array" ref="P56">(P48/5*INDEX(マスター!$D$3:$D$9,MATCH(1,(P48/5&gt;=マスター!$A$3:$A$9)*(P48/5&lt;=IF(マスター!$C$3:$C$9="",1E+99,マスター!$C$3:$C$9)),0))-INDEX(マスター!$E$3:$E$9,MATCH(1,(P48/5&gt;=マスター!$A$3:$A$9)*(P48/5&lt;=IF(マスター!$C$3:$C$9="",1E+99,マスター!$C$3:$C$9)),0)))*5</f>
        <v>0</v>
      </c>
      <c r="Q56" s="3" cm="1">
        <f t="array" ref="Q56">(Q48/5*INDEX(マスター!$D$3:$D$9,MATCH(1,(Q48/5&gt;=マスター!$A$3:$A$9)*(Q48/5&lt;=IF(マスター!$C$3:$C$9="",1E+99,マスター!$C$3:$C$9)),0))-INDEX(マスター!$E$3:$E$9,MATCH(1,(Q48/5&gt;=マスター!$A$3:$A$9)*(Q48/5&lt;=IF(マスター!$C$3:$C$9="",1E+99,マスター!$C$3:$C$9)),0)))*5</f>
        <v>0</v>
      </c>
      <c r="Z56" t="s">
        <v>162</v>
      </c>
      <c r="AA56" s="15">
        <f xml:space="preserve">
MIN(  $AA$50,
  IF(AND($AA$49&lt;0, N($AA$43)=0, N($AA$44)=0), $AA$51, 1),
  IF($AA$54&lt;&gt;"", $AA$54, 1),
  IF($AA$55&lt;&gt;"", $AA$55, 1)
)</f>
        <v>0.56306999999999996</v>
      </c>
      <c r="AB56" s="15">
        <f xml:space="preserve">
MIN(  $AB$50,
  IF(AND($AB$49&lt;0, N($AB$43)=0, N($AB$44)=0), $AB$51, 1),
  IF($AB$54&lt;&gt;"", $AB$54, 1),
  IF($AB$55&lt;&gt;"", $AB$55, 1)
)</f>
        <v>0.79790000000000005</v>
      </c>
    </row>
    <row r="57" spans="1:32" x14ac:dyDescent="0.45">
      <c r="M57" s="2" t="s">
        <v>81</v>
      </c>
      <c r="O57" s="3" cm="1">
        <f t="array" ref="O57">O49*INDEX(マスター!$D$3:$D$9,MATCH(1,(O49&gt;=マスター!$A$3:$A$9)*(O49&lt;=IF(マスター!$C$3:$C$9="",1E+99,マスター!$C$3:$C$9)),0))-INDEX(マスター!$E$3:$E$9,MATCH(1,(O49&gt;=マスター!$A$3:$A$9)*(O49&lt;=IF(マスター!$C$3:$C$9="",1E+99,マスター!$C$3:$C$9)),0))</f>
        <v>0</v>
      </c>
      <c r="P57" s="3" cm="1">
        <f t="array" ref="P57">P49*INDEX(マスター!$D$3:$D$9,MATCH(1,(P49&gt;=マスター!$A$3:$A$9)*(P49&lt;=IF(マスター!$C$3:$C$9="",1E+99,マスター!$C$3:$C$9)),0))-INDEX(マスター!$E$3:$E$9,MATCH(1,(P49&gt;=マスター!$A$3:$A$9)*(P49&lt;=IF(マスター!$C$3:$C$9="",1E+99,マスター!$C$3:$C$9)),0))</f>
        <v>0</v>
      </c>
      <c r="Q57" s="3" cm="1">
        <f t="array" ref="Q57">Q49*INDEX(マスター!$D$3:$D$9,MATCH(1,(Q49&gt;=マスター!$A$3:$A$9)*(Q49&lt;=IF(マスター!$C$3:$C$9="",1E+99,マスター!$C$3:$C$9)),0))-INDEX(マスター!$E$3:$E$9,MATCH(1,(Q49&gt;=マスター!$A$3:$A$9)*(Q49&lt;=IF(マスター!$C$3:$C$9="",1E+99,マスター!$C$3:$C$9)),0))</f>
        <v>0</v>
      </c>
    </row>
    <row r="59" spans="1:32" x14ac:dyDescent="0.45">
      <c r="M59" t="s">
        <v>230</v>
      </c>
      <c r="O59" s="3">
        <f>ROUNDDOWN(SUM(O50:O57),0)</f>
        <v>2408820</v>
      </c>
      <c r="P59" s="3">
        <f>ROUNDDOWN(SUM(P50:P57),0)</f>
        <v>230900</v>
      </c>
      <c r="Q59" s="3">
        <f>ROUNDDOWN(SUM(Q50:Q57),0)</f>
        <v>238500</v>
      </c>
    </row>
    <row r="60" spans="1:32" x14ac:dyDescent="0.45">
      <c r="M60" t="s">
        <v>41</v>
      </c>
      <c r="N60" t="s">
        <v>168</v>
      </c>
      <c r="O60" s="3">
        <f>INT(
  MIN(
    MAX(
      0,
      MIN(
        N(インプット表!$J$23),
        MAX(0, 0.4*N(計算結果!$O$40) - MIN(N(インプット表!$J$21)+N(インプット表!$J$22)+N(インプット表!$J$24)+N(インプット表!$J$25), 0.4*N(計算結果!$O$40)))
      )
      - MAX(0, 2000 - (N(インプット表!$J$21)+N(インプット表!$J$22)+N(インプット表!$J$24)+N(インプット表!$J$25)))
    ) * 0.3,
    N($O$59) * 0.25
  ) / 100
) * 100</f>
        <v>0</v>
      </c>
      <c r="P60" s="3">
        <f>INT(
  MIN(
    MAX(
      0,
      MIN(
        N(インプット表!$K$23),
        MAX(0, 0.4*N(計算結果!$P$40) - MIN(N(インプット表!$K$21)+N(インプット表!$K$22)+N(インプット表!$K$24)+N(インプット表!$K$25), 0.4*N(計算結果!$P$40)))
      )
      - MAX(0, 2000 - (N(インプット表!$K$21)+N(インプット表!$K$22)+N(インプット表!$K$24)+N(インプット表!$K$25)))
    ) * 0.3,
    N($P$59) * 0.25
  ) / 100
) * 100</f>
        <v>0</v>
      </c>
      <c r="Q60" s="3">
        <f>INT(
  MIN(
    MAX(
      0,
      MIN(
        N(インプット表!$K$23),
        MAX(0, 0.4*N(計算結果!$Q$40) - MIN(N(インプット表!$K$21)+N(インプット表!$K$22)+N(インプット表!$K$24)+N(インプット表!$K$25), 0.4*N(計算結果!$Q$40)))
      )
      - MAX(0, 2000 - (N(インプット表!$K$21)+N(インプット表!$K$22)+N(インプット表!$K$24)+N(インプット表!$K$25)))
    ) * 0.3,
    N($Q$59) * 0.25
  ) / 100
) * 100</f>
        <v>0</v>
      </c>
    </row>
    <row r="61" spans="1:32" x14ac:dyDescent="0.45">
      <c r="N61" t="s">
        <v>169</v>
      </c>
      <c r="O61" s="3">
        <f>ROUNDDOWN(INT(
  MIN(
    MAX(
      0,
      MIN(
        N(インプット表!$J$24),
        MAX(0, 0.4*N(計算結果!$O$40) - MIN(N(インプット表!$J$21)+N(インプット表!$J$22)+N(インプット表!$J$25), 0.4*N(計算結果!$O$40)))
      )
      - MAX(0, 2000 - (N(インプット表!$J$21)+N(インプット表!$J$22)+N(インプット表!$J$25)))
    ) * 0.4,
    N($O$59) * 0.25
  ) / 100
) * 100,-2)</f>
        <v>5200</v>
      </c>
      <c r="P61" s="3">
        <f>INT(
  MIN(
    MAX(
      0,
      MIN(
        N(インプット表!$K$24),
        MAX(0, 0.4*N(計算結果!$P$40) - MIN(N(インプット表!$K$21)+N(インプット表!$K$22)+N(インプット表!$K$25), 0.4*N(計算結果!$P$40)))
      )
      - MAX(0, 2000 - (N(インプット表!$K$21)+N(インプット表!$K$22)+N(インプット表!$K$25)))
    ) * 0.4,
    N($P$59) * 0.25
  ) / 100
) * 100</f>
        <v>0</v>
      </c>
      <c r="Q61" s="3">
        <f>INT(
  MIN(
    MAX(
      0,
      MIN(
        N(インプット表!$K$24),
        MAX(0, 0.4*N(計算結果!$Q$40) - MIN(N(インプット表!$K$21)+N(インプット表!$K$22)+N(インプット表!$K$25), 0.4*N(計算結果!$Q$40)))
      )
      - MAX(0, 2000 - (N(インプット表!$K$21)+N(インプット表!$K$22)+N(インプット表!$K$25)))
    ) * 0.4,
    N($Q$59) * 0.25
  ) / 100
) * 100</f>
        <v>0</v>
      </c>
    </row>
    <row r="62" spans="1:32" x14ac:dyDescent="0.45">
      <c r="N62" t="s">
        <v>170</v>
      </c>
      <c r="O62" s="3">
        <f>INT(
  MIN(
    MAX(
      0,
      MIN(
        N(インプット表!$J$25),
        MAX(0, 0.4*N(計算結果!$O$40) - MIN(N(インプット表!$J$21)+N(インプット表!$J$22), 0.4*N(計算結果!$O$40)))
      )
      - MAX(0, 2000 - (N(インプット表!$J$21)+N(インプット表!$J$22)))
    ) * 0.4,
    MAX(0, N($O$59)*0.25 - N($O$61))
  ) / 100
) * 100</f>
        <v>0</v>
      </c>
      <c r="P62" s="3">
        <f>INT(
  MIN(
    MAX(
      0,
      MIN(
        N(インプット表!$K$25),
        MAX(0, 0.4*N(計算結果!$P$40) - MIN(N(インプット表!$K$21)+N(インプット表!$K$22), 0.4*N(計算結果!$P$40)))
      )
      - MAX(0, 2000 - (N(インプット表!$K$21)+N(インプット表!$K$22)))
    ) * 0.4,
    MAX(0, N($P$59)*0.25 - N($P$61))
  ) / 100
) * 100</f>
        <v>0</v>
      </c>
      <c r="Q62" s="3">
        <f>INT(
  MIN(
    MAX(
      0,
      MIN(
        N(インプット表!$K$25),
        MAX(0, 0.4*N(計算結果!$Q$40) - MIN(N(インプット表!$K$21)+N(インプット表!$K$22), 0.4*N(計算結果!$Q$40)))
      )
      - MAX(0, 2000 - (N(インプット表!$K$21)+N(インプット表!$K$22)))
    ) * 0.4,
    MAX(0, N($Q$59)*0.25 - N($Q$61))
  ) / 100
) * 100</f>
        <v>0</v>
      </c>
    </row>
    <row r="63" spans="1:32" x14ac:dyDescent="0.45">
      <c r="M63" t="s">
        <v>229</v>
      </c>
      <c r="O63" s="3">
        <f>O59-SUM(O60:O62)</f>
        <v>2403620</v>
      </c>
      <c r="P63" s="3">
        <f>P59-SUM(P60:P62)</f>
        <v>230900</v>
      </c>
      <c r="Q63" s="3">
        <f>Q59-SUM(Q60:Q62)</f>
        <v>238500</v>
      </c>
    </row>
    <row r="64" spans="1:32" x14ac:dyDescent="0.45">
      <c r="M64" s="2" t="s">
        <v>123</v>
      </c>
      <c r="O64" s="3">
        <f>インプット表!J37*30000</f>
        <v>0</v>
      </c>
      <c r="P64" s="3">
        <f>インプット表!K37*30000</f>
        <v>0</v>
      </c>
      <c r="Q64" s="3">
        <f>インプット表!K37*30000</f>
        <v>0</v>
      </c>
    </row>
    <row r="65" spans="13:17" x14ac:dyDescent="0.45">
      <c r="M65" s="2" t="s">
        <v>124</v>
      </c>
      <c r="O65" s="3">
        <f>O63-O64</f>
        <v>2403620</v>
      </c>
      <c r="P65" s="3">
        <f>P63-P64</f>
        <v>230900</v>
      </c>
      <c r="Q65" s="3">
        <f>Q63-Q64</f>
        <v>238500</v>
      </c>
    </row>
    <row r="66" spans="13:17" x14ac:dyDescent="0.45">
      <c r="M66" s="2" t="s">
        <v>119</v>
      </c>
      <c r="O66" s="3">
        <f>ROUNDDOWN(O65*0.021,0)</f>
        <v>50476</v>
      </c>
      <c r="P66" s="3">
        <f>ROUNDDOWN(P65*0.021,0)</f>
        <v>4848</v>
      </c>
      <c r="Q66" s="3">
        <f>ROUNDDOWN(Q65*0.021,0)</f>
        <v>5008</v>
      </c>
    </row>
    <row r="67" spans="13:17" x14ac:dyDescent="0.45">
      <c r="M67" s="2" t="s">
        <v>120</v>
      </c>
      <c r="O67" s="3">
        <f>ROUNDDOWN(SUM(O65:O66),0)</f>
        <v>2454096</v>
      </c>
      <c r="P67" s="3">
        <f>ROUNDDOWN(SUM(P65:P66),0)</f>
        <v>235748</v>
      </c>
      <c r="Q67" s="3">
        <f>ROUNDDOWN(SUM(Q65:Q66),0)</f>
        <v>243508</v>
      </c>
    </row>
    <row r="68" spans="13:17" x14ac:dyDescent="0.45">
      <c r="M68" s="2" t="s">
        <v>126</v>
      </c>
      <c r="O68" s="3">
        <f>インプット表!J39</f>
        <v>0</v>
      </c>
      <c r="P68" s="3">
        <f>インプット表!K39</f>
        <v>0</v>
      </c>
      <c r="Q68" s="3">
        <f>インプット表!K39</f>
        <v>0</v>
      </c>
    </row>
    <row r="69" spans="13:17" x14ac:dyDescent="0.45">
      <c r="M69" s="2" t="s">
        <v>121</v>
      </c>
      <c r="O69" s="3">
        <f>ROUNDDOWN(O67-O68,-2)</f>
        <v>2454000</v>
      </c>
      <c r="P69" s="3">
        <f>ROUNDDOWN(P67-P68,-2)</f>
        <v>235700</v>
      </c>
      <c r="Q69" s="3">
        <f>ROUNDDOWN(Q67-Q68,-2)</f>
        <v>243500</v>
      </c>
    </row>
  </sheetData>
  <mergeCells count="6">
    <mergeCell ref="D40:D43"/>
    <mergeCell ref="F40:F44"/>
    <mergeCell ref="H40:H45"/>
    <mergeCell ref="D13:D16"/>
    <mergeCell ref="F13:F17"/>
    <mergeCell ref="H13:H18"/>
  </mergeCells>
  <phoneticPr fontId="2"/>
  <conditionalFormatting sqref="V6:W8 X7:X8">
    <cfRule type="expression" dxfId="0" priority="1">
      <formula>ISBLANK(V6)</formula>
    </cfRule>
  </conditionalFormatting>
  <conditionalFormatting sqref="V6:X6">
    <cfRule type="expression" priority="2">
      <formula>ISBLANK(T6)</formula>
    </cfRule>
  </conditionalFormatting>
  <dataValidations disablePrompts="1" count="1">
    <dataValidation type="list" allowBlank="1" showInputMessage="1" showErrorMessage="1" sqref="V6:X6" xr:uid="{00000000-0002-0000-0100-000000000000}">
      <formula1>"TRUE, FALSE"</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D3B1D-0BD3-47D2-89C1-60B97749814C}">
  <dimension ref="B2:R31"/>
  <sheetViews>
    <sheetView workbookViewId="0">
      <selection activeCell="O10" sqref="O10"/>
    </sheetView>
  </sheetViews>
  <sheetFormatPr defaultRowHeight="18" x14ac:dyDescent="0.45"/>
  <cols>
    <col min="2" max="2" width="4.8984375" customWidth="1"/>
    <col min="3" max="3" width="13" customWidth="1"/>
    <col min="4" max="4" width="18.09765625" customWidth="1"/>
    <col min="5" max="7" width="12.09765625" customWidth="1"/>
    <col min="8" max="8" width="11.59765625" customWidth="1"/>
    <col min="9" max="9" width="11.09765625" customWidth="1"/>
    <col min="10" max="10" width="5.8984375" customWidth="1"/>
    <col min="11" max="11" width="4.8984375" customWidth="1"/>
    <col min="12" max="12" width="13" customWidth="1"/>
    <col min="13" max="13" width="18.09765625" customWidth="1"/>
    <col min="14" max="16" width="12.09765625" customWidth="1"/>
    <col min="17" max="17" width="11.59765625" customWidth="1"/>
    <col min="18" max="18" width="11.09765625" customWidth="1"/>
  </cols>
  <sheetData>
    <row r="2" spans="2:18" ht="19.8" x14ac:dyDescent="0.45">
      <c r="D2" s="20" t="s">
        <v>249</v>
      </c>
      <c r="M2" s="20" t="s">
        <v>250</v>
      </c>
    </row>
    <row r="4" spans="2:18" x14ac:dyDescent="0.45">
      <c r="E4" s="21" t="s">
        <v>251</v>
      </c>
      <c r="F4" s="21" t="s">
        <v>252</v>
      </c>
      <c r="G4" s="21" t="s">
        <v>253</v>
      </c>
      <c r="N4" s="21" t="s">
        <v>251</v>
      </c>
      <c r="O4" s="21" t="s">
        <v>252</v>
      </c>
      <c r="P4" s="21" t="s">
        <v>253</v>
      </c>
    </row>
    <row r="5" spans="2:18" ht="18.75" customHeight="1" x14ac:dyDescent="0.45">
      <c r="B5" s="70" t="s">
        <v>68</v>
      </c>
      <c r="C5" s="22" t="s">
        <v>254</v>
      </c>
      <c r="D5" s="23"/>
      <c r="E5" s="24">
        <v>0</v>
      </c>
      <c r="F5" s="25">
        <f>インプット表!K22</f>
        <v>48000</v>
      </c>
      <c r="G5" s="26">
        <f>+E5-F5</f>
        <v>-48000</v>
      </c>
      <c r="H5" s="27"/>
      <c r="I5" s="27"/>
      <c r="K5" s="70" t="s">
        <v>68</v>
      </c>
      <c r="L5" s="22" t="s">
        <v>254</v>
      </c>
      <c r="M5" s="23"/>
      <c r="N5" s="24">
        <v>0</v>
      </c>
      <c r="O5" s="25">
        <f>インプット表!K22</f>
        <v>48000</v>
      </c>
      <c r="P5" s="59">
        <f>+N5-O5</f>
        <v>-48000</v>
      </c>
      <c r="Q5" s="27"/>
      <c r="R5" s="27"/>
    </row>
    <row r="6" spans="2:18" x14ac:dyDescent="0.45">
      <c r="B6" s="71"/>
      <c r="C6" s="28" t="s">
        <v>255</v>
      </c>
      <c r="E6" s="29">
        <f>計算結果!Q6</f>
        <v>5000000</v>
      </c>
      <c r="F6" s="30">
        <f>+E6</f>
        <v>5000000</v>
      </c>
      <c r="G6" s="31">
        <f>+E6-F6</f>
        <v>0</v>
      </c>
      <c r="H6" s="27"/>
      <c r="I6" s="27"/>
      <c r="K6" s="71"/>
      <c r="L6" s="28" t="s">
        <v>255</v>
      </c>
      <c r="N6" s="29">
        <f>計算結果!Q6</f>
        <v>5000000</v>
      </c>
      <c r="O6" s="30">
        <f>+N6</f>
        <v>5000000</v>
      </c>
      <c r="P6" s="59">
        <f>+N6-O6</f>
        <v>0</v>
      </c>
      <c r="Q6" s="27"/>
      <c r="R6" s="27"/>
    </row>
    <row r="7" spans="2:18" x14ac:dyDescent="0.45">
      <c r="B7" s="71"/>
      <c r="C7" s="22" t="s">
        <v>256</v>
      </c>
      <c r="D7" s="23"/>
      <c r="E7" s="32">
        <f>計算結果!Q25</f>
        <v>1670000</v>
      </c>
      <c r="F7" s="33">
        <f>+E7+F5-2000</f>
        <v>1716000</v>
      </c>
      <c r="G7" s="26">
        <f>+E7-F7</f>
        <v>-46000</v>
      </c>
      <c r="H7" s="27"/>
      <c r="I7" s="27"/>
      <c r="K7" s="71"/>
      <c r="L7" s="22" t="s">
        <v>256</v>
      </c>
      <c r="M7" s="23"/>
      <c r="N7" s="32">
        <f>計算結果!Q25</f>
        <v>1670000</v>
      </c>
      <c r="O7" s="65">
        <f>計算結果!Q25</f>
        <v>1670000</v>
      </c>
      <c r="P7" s="59">
        <f>+N7-O7</f>
        <v>0</v>
      </c>
      <c r="Q7" s="27"/>
      <c r="R7" s="27"/>
    </row>
    <row r="8" spans="2:18" x14ac:dyDescent="0.45">
      <c r="B8" s="71"/>
      <c r="C8" s="83" t="s">
        <v>257</v>
      </c>
      <c r="D8" t="s">
        <v>258</v>
      </c>
      <c r="E8" s="35">
        <f>計算結果!Q29</f>
        <v>0</v>
      </c>
      <c r="F8" s="30">
        <f>+E8</f>
        <v>0</v>
      </c>
      <c r="G8" s="31">
        <f>+E8-F8</f>
        <v>0</v>
      </c>
      <c r="H8" s="27"/>
      <c r="I8" s="27"/>
      <c r="K8" s="71"/>
      <c r="L8" s="83" t="s">
        <v>257</v>
      </c>
      <c r="M8" t="s">
        <v>258</v>
      </c>
      <c r="N8" s="35">
        <f>計算結果!Q29</f>
        <v>0</v>
      </c>
      <c r="O8" s="30">
        <f>+N8</f>
        <v>0</v>
      </c>
      <c r="P8" s="60">
        <f>+N8-O8</f>
        <v>0</v>
      </c>
      <c r="Q8" s="27"/>
      <c r="R8" s="27"/>
    </row>
    <row r="9" spans="2:18" x14ac:dyDescent="0.45">
      <c r="B9" s="71"/>
      <c r="C9" s="83"/>
      <c r="D9" t="s">
        <v>259</v>
      </c>
      <c r="E9" s="34">
        <f>計算結果!Q31</f>
        <v>0</v>
      </c>
      <c r="F9" s="30">
        <f>+E9</f>
        <v>0</v>
      </c>
      <c r="G9" s="31">
        <f>+E9-F9</f>
        <v>0</v>
      </c>
      <c r="H9" s="27"/>
      <c r="I9" s="27"/>
      <c r="K9" s="71"/>
      <c r="L9" s="83"/>
      <c r="M9" t="s">
        <v>259</v>
      </c>
      <c r="N9" s="34">
        <f>計算結果!Q31</f>
        <v>0</v>
      </c>
      <c r="O9" s="30">
        <f>+N9</f>
        <v>0</v>
      </c>
      <c r="P9" s="61">
        <f>+N9-O9</f>
        <v>0</v>
      </c>
      <c r="Q9" s="27"/>
      <c r="R9" s="27"/>
    </row>
    <row r="10" spans="2:18" x14ac:dyDescent="0.45">
      <c r="B10" s="71"/>
      <c r="C10" s="80" t="s">
        <v>260</v>
      </c>
      <c r="D10" s="36" t="s">
        <v>261</v>
      </c>
      <c r="E10" s="37">
        <f>計算結果!Q50*1.021</f>
        <v>243508.49999999997</v>
      </c>
      <c r="F10" s="37">
        <f>計算結果!P50*1.021</f>
        <v>235748.89999999997</v>
      </c>
      <c r="G10" s="37">
        <f>E10-F10</f>
        <v>7759.6000000000058</v>
      </c>
      <c r="H10" s="27"/>
      <c r="I10" s="27"/>
      <c r="K10" s="71"/>
      <c r="L10" s="80" t="s">
        <v>260</v>
      </c>
      <c r="M10" s="36" t="s">
        <v>261</v>
      </c>
      <c r="N10" s="37">
        <f>計算結果!Q50*1.021</f>
        <v>243508.49999999997</v>
      </c>
      <c r="O10" s="57">
        <f>計算結果!P50*1.021</f>
        <v>235748.89999999997</v>
      </c>
      <c r="P10" s="60"/>
      <c r="Q10" s="27"/>
      <c r="R10" s="27"/>
    </row>
    <row r="11" spans="2:18" x14ac:dyDescent="0.45">
      <c r="B11" s="71"/>
      <c r="C11" s="81"/>
      <c r="D11" t="s">
        <v>262</v>
      </c>
      <c r="E11" s="31">
        <f>E8*0.3*1.021</f>
        <v>0</v>
      </c>
      <c r="F11" s="31">
        <f>F8*0.3*1.021</f>
        <v>0</v>
      </c>
      <c r="G11" s="31">
        <f t="shared" ref="G11:G12" si="0">E11-F11</f>
        <v>0</v>
      </c>
      <c r="H11" s="27"/>
      <c r="I11" s="27"/>
      <c r="K11" s="71"/>
      <c r="L11" s="81"/>
      <c r="M11" t="s">
        <v>262</v>
      </c>
      <c r="N11" s="31">
        <f>N8*0.3*1.021</f>
        <v>0</v>
      </c>
      <c r="O11" s="58">
        <f>O8*0.3*1.021</f>
        <v>0</v>
      </c>
      <c r="P11" s="62"/>
      <c r="Q11" s="27"/>
      <c r="R11" s="27"/>
    </row>
    <row r="12" spans="2:18" x14ac:dyDescent="0.45">
      <c r="B12" s="71"/>
      <c r="C12" s="81"/>
      <c r="D12" t="s">
        <v>263</v>
      </c>
      <c r="E12" s="31">
        <f>E9*0.15*1.021</f>
        <v>0</v>
      </c>
      <c r="F12" s="31">
        <f>F9*0.15*1.021</f>
        <v>0</v>
      </c>
      <c r="G12" s="31">
        <f t="shared" si="0"/>
        <v>0</v>
      </c>
      <c r="H12" s="27"/>
      <c r="I12" s="27"/>
      <c r="K12" s="71"/>
      <c r="L12" s="81"/>
      <c r="M12" t="s">
        <v>263</v>
      </c>
      <c r="N12" s="31">
        <f>N9*0.15*1.021</f>
        <v>0</v>
      </c>
      <c r="O12" s="58">
        <f>O9*0.15*1.021</f>
        <v>0</v>
      </c>
      <c r="P12" s="61"/>
      <c r="Q12" s="27"/>
      <c r="R12" s="27"/>
    </row>
    <row r="13" spans="2:18" x14ac:dyDescent="0.45">
      <c r="B13" s="72"/>
      <c r="C13" s="82"/>
      <c r="D13" s="39" t="s">
        <v>264</v>
      </c>
      <c r="E13" s="26">
        <f>SUM(E10:E12)</f>
        <v>243508.49999999997</v>
      </c>
      <c r="F13" s="26">
        <f>SUM(F10:F12)</f>
        <v>235748.89999999997</v>
      </c>
      <c r="G13" s="26">
        <f>E13-F13</f>
        <v>7759.6000000000058</v>
      </c>
      <c r="H13" s="27" t="s">
        <v>265</v>
      </c>
      <c r="I13" s="27"/>
      <c r="K13" s="72"/>
      <c r="L13" s="82"/>
      <c r="M13" s="39" t="s">
        <v>264</v>
      </c>
      <c r="N13" s="26">
        <f>SUM(N10:N12)</f>
        <v>243508.49999999997</v>
      </c>
      <c r="O13" s="26">
        <f>SUM(O10:O12)</f>
        <v>235748.89999999997</v>
      </c>
      <c r="P13" s="26">
        <f>N13-O13</f>
        <v>7759.6000000000058</v>
      </c>
      <c r="Q13" s="40" t="s">
        <v>266</v>
      </c>
      <c r="R13" s="27"/>
    </row>
    <row r="14" spans="2:18" x14ac:dyDescent="0.45">
      <c r="E14" s="27"/>
      <c r="F14" s="27"/>
      <c r="G14" s="27"/>
      <c r="H14" s="27"/>
      <c r="I14" s="27"/>
      <c r="N14" s="27"/>
      <c r="O14" s="27"/>
      <c r="P14" s="3"/>
      <c r="Q14" s="27"/>
      <c r="R14" s="27"/>
    </row>
    <row r="15" spans="2:18" ht="18.75" customHeight="1" x14ac:dyDescent="0.45">
      <c r="B15" s="70" t="s">
        <v>83</v>
      </c>
      <c r="C15" s="41" t="s">
        <v>267</v>
      </c>
      <c r="D15" s="42"/>
      <c r="E15" s="38">
        <f>計算結果!AB6</f>
        <v>5000000</v>
      </c>
      <c r="F15" s="37">
        <f>+E15</f>
        <v>5000000</v>
      </c>
      <c r="G15" s="43">
        <f>+E15-F15</f>
        <v>0</v>
      </c>
      <c r="H15" s="27"/>
      <c r="I15" s="27"/>
      <c r="K15" s="73" t="s">
        <v>83</v>
      </c>
      <c r="L15" s="41" t="s">
        <v>267</v>
      </c>
      <c r="M15" s="42"/>
      <c r="N15" s="38">
        <f>計算結果!AB6</f>
        <v>5000000</v>
      </c>
      <c r="O15" s="37">
        <f>+N15</f>
        <v>5000000</v>
      </c>
      <c r="P15" s="59">
        <f>+N15-O15</f>
        <v>0</v>
      </c>
      <c r="Q15" s="27"/>
      <c r="R15" s="27"/>
    </row>
    <row r="16" spans="2:18" x14ac:dyDescent="0.45">
      <c r="B16" s="71"/>
      <c r="C16" s="22" t="s">
        <v>268</v>
      </c>
      <c r="D16" s="23"/>
      <c r="E16" s="33">
        <f>計算結果!AB24</f>
        <v>1470000</v>
      </c>
      <c r="F16" s="26">
        <f>計算結果!AB24</f>
        <v>1470000</v>
      </c>
      <c r="G16" s="24">
        <f>+E16-F16</f>
        <v>0</v>
      </c>
      <c r="H16" s="27" t="s">
        <v>269</v>
      </c>
      <c r="I16" s="44">
        <f>計算結果!AB39</f>
        <v>50000</v>
      </c>
      <c r="K16" s="74"/>
      <c r="L16" s="22" t="s">
        <v>268</v>
      </c>
      <c r="M16" s="23"/>
      <c r="N16" s="33">
        <f>計算結果!AB24</f>
        <v>1470000</v>
      </c>
      <c r="O16" s="26">
        <f>計算結果!AB24</f>
        <v>1470000</v>
      </c>
      <c r="P16" s="59">
        <f>+N16-O16</f>
        <v>0</v>
      </c>
      <c r="Q16" s="27" t="s">
        <v>269</v>
      </c>
      <c r="R16" s="44">
        <f>計算結果!AB39</f>
        <v>50000</v>
      </c>
    </row>
    <row r="17" spans="2:18" x14ac:dyDescent="0.45">
      <c r="B17" s="71"/>
      <c r="C17" s="76" t="s">
        <v>270</v>
      </c>
      <c r="D17" s="45" t="s">
        <v>75</v>
      </c>
      <c r="E17" s="30">
        <f>+E8</f>
        <v>0</v>
      </c>
      <c r="F17" s="31">
        <f>+E17</f>
        <v>0</v>
      </c>
      <c r="G17" s="46">
        <f>+E17-F17</f>
        <v>0</v>
      </c>
      <c r="H17" s="27"/>
      <c r="I17" s="27"/>
      <c r="K17" s="74"/>
      <c r="L17" s="76" t="s">
        <v>270</v>
      </c>
      <c r="M17" s="45" t="s">
        <v>75</v>
      </c>
      <c r="N17" s="30">
        <f>+N8</f>
        <v>0</v>
      </c>
      <c r="O17" s="31">
        <f>+N17</f>
        <v>0</v>
      </c>
      <c r="P17" s="60">
        <f>+N17-O17</f>
        <v>0</v>
      </c>
      <c r="Q17" s="27"/>
      <c r="R17" s="27"/>
    </row>
    <row r="18" spans="2:18" x14ac:dyDescent="0.45">
      <c r="B18" s="71"/>
      <c r="C18" s="76"/>
      <c r="D18" s="28" t="s">
        <v>76</v>
      </c>
      <c r="E18" s="30">
        <f>+E9</f>
        <v>0</v>
      </c>
      <c r="F18" s="31">
        <f>+E18</f>
        <v>0</v>
      </c>
      <c r="G18" s="46">
        <f>+E18-F18</f>
        <v>0</v>
      </c>
      <c r="H18" s="27"/>
      <c r="I18" s="27"/>
      <c r="K18" s="74"/>
      <c r="L18" s="76"/>
      <c r="M18" s="28" t="s">
        <v>76</v>
      </c>
      <c r="N18" s="30">
        <f>+N9</f>
        <v>0</v>
      </c>
      <c r="O18" s="31">
        <f>+N18</f>
        <v>0</v>
      </c>
      <c r="P18" s="61">
        <f>+N18-O18</f>
        <v>0</v>
      </c>
      <c r="Q18" s="27"/>
      <c r="R18" s="27"/>
    </row>
    <row r="19" spans="2:18" x14ac:dyDescent="0.45">
      <c r="B19" s="71"/>
      <c r="C19" s="77" t="s">
        <v>271</v>
      </c>
      <c r="D19" s="45" t="s">
        <v>272</v>
      </c>
      <c r="E19" s="38">
        <f>(E15-E16)*0.1</f>
        <v>353000</v>
      </c>
      <c r="F19" s="37">
        <f>(F15-F16)*0.1</f>
        <v>353000</v>
      </c>
      <c r="G19" s="43">
        <f t="shared" ref="G19:G27" si="1">+E19-F19</f>
        <v>0</v>
      </c>
      <c r="H19" s="27"/>
      <c r="I19" s="27"/>
      <c r="K19" s="74"/>
      <c r="L19" s="77" t="s">
        <v>271</v>
      </c>
      <c r="M19" s="45" t="s">
        <v>272</v>
      </c>
      <c r="N19" s="38">
        <f>(N15-N16)*0.1</f>
        <v>353000</v>
      </c>
      <c r="O19" s="37">
        <f>(O15-O16)*0.1</f>
        <v>353000</v>
      </c>
      <c r="P19" s="60">
        <f t="shared" ref="P19:P28" si="2">+N19-O19</f>
        <v>0</v>
      </c>
      <c r="Q19" s="27"/>
      <c r="R19" s="27"/>
    </row>
    <row r="20" spans="2:18" x14ac:dyDescent="0.45">
      <c r="B20" s="71"/>
      <c r="C20" s="78"/>
      <c r="D20" s="28" t="s">
        <v>273</v>
      </c>
      <c r="E20" s="30">
        <f>E17*0.09</f>
        <v>0</v>
      </c>
      <c r="F20" s="31">
        <f>F17*0.09</f>
        <v>0</v>
      </c>
      <c r="G20" s="46">
        <f t="shared" si="1"/>
        <v>0</v>
      </c>
      <c r="H20" s="27"/>
      <c r="I20" s="27"/>
      <c r="K20" s="74"/>
      <c r="L20" s="78"/>
      <c r="M20" s="28" t="s">
        <v>273</v>
      </c>
      <c r="N20" s="30">
        <f>N17*0.09</f>
        <v>0</v>
      </c>
      <c r="O20" s="31">
        <f>O17*0.09</f>
        <v>0</v>
      </c>
      <c r="P20" s="62">
        <f t="shared" si="2"/>
        <v>0</v>
      </c>
      <c r="Q20" s="27"/>
      <c r="R20" s="27"/>
    </row>
    <row r="21" spans="2:18" x14ac:dyDescent="0.45">
      <c r="B21" s="71"/>
      <c r="C21" s="78"/>
      <c r="D21" s="28" t="s">
        <v>274</v>
      </c>
      <c r="E21" s="30">
        <f>E18*0.05</f>
        <v>0</v>
      </c>
      <c r="F21" s="31">
        <f>F18*0.05</f>
        <v>0</v>
      </c>
      <c r="G21" s="46">
        <f t="shared" si="1"/>
        <v>0</v>
      </c>
      <c r="H21" s="27"/>
      <c r="I21" s="27"/>
      <c r="K21" s="74"/>
      <c r="L21" s="78"/>
      <c r="M21" s="28" t="s">
        <v>274</v>
      </c>
      <c r="N21" s="30">
        <f>N18*0.05</f>
        <v>0</v>
      </c>
      <c r="O21" s="31">
        <f>O18*0.05</f>
        <v>0</v>
      </c>
      <c r="P21" s="61">
        <f t="shared" si="2"/>
        <v>0</v>
      </c>
      <c r="Q21" s="27"/>
      <c r="R21" s="27"/>
    </row>
    <row r="22" spans="2:18" x14ac:dyDescent="0.45">
      <c r="B22" s="71"/>
      <c r="C22" s="79"/>
      <c r="D22" s="47" t="s">
        <v>48</v>
      </c>
      <c r="E22" s="33">
        <f>SUM(E19:E21)</f>
        <v>353000</v>
      </c>
      <c r="F22" s="26">
        <f>SUM(F19:F21)</f>
        <v>353000</v>
      </c>
      <c r="G22" s="24">
        <f t="shared" si="1"/>
        <v>0</v>
      </c>
      <c r="H22" s="27"/>
      <c r="I22" s="27"/>
      <c r="K22" s="74"/>
      <c r="L22" s="79"/>
      <c r="M22" s="47" t="s">
        <v>48</v>
      </c>
      <c r="N22" s="33">
        <f>SUM(N19:N21)</f>
        <v>353000</v>
      </c>
      <c r="O22" s="26">
        <f>SUM(O19:O21)</f>
        <v>353000</v>
      </c>
      <c r="P22" s="59">
        <f t="shared" si="2"/>
        <v>0</v>
      </c>
      <c r="Q22" s="27"/>
      <c r="R22" s="27"/>
    </row>
    <row r="23" spans="2:18" x14ac:dyDescent="0.45">
      <c r="B23" s="71"/>
      <c r="C23" s="48" t="s">
        <v>275</v>
      </c>
      <c r="D23" s="49"/>
      <c r="E23" s="30">
        <f>SUM(計算結果!X14:X15)</f>
        <v>2500</v>
      </c>
      <c r="F23" s="26">
        <f>SUM(計算結果!W14:W15)</f>
        <v>2500</v>
      </c>
      <c r="G23" s="46">
        <f t="shared" si="1"/>
        <v>0</v>
      </c>
      <c r="H23" s="27"/>
      <c r="I23" s="27"/>
      <c r="K23" s="74"/>
      <c r="L23" s="48" t="s">
        <v>275</v>
      </c>
      <c r="M23" s="49"/>
      <c r="N23" s="30">
        <f>SUM(計算結果!X14:X15)</f>
        <v>2500</v>
      </c>
      <c r="O23" s="26">
        <f>SUM(計算結果!W14:W15)</f>
        <v>2500</v>
      </c>
      <c r="P23" s="59">
        <f t="shared" si="2"/>
        <v>0</v>
      </c>
      <c r="Q23" s="27"/>
      <c r="R23" s="27"/>
    </row>
    <row r="24" spans="2:18" x14ac:dyDescent="0.45">
      <c r="B24" s="71"/>
      <c r="C24" s="50" t="s">
        <v>276</v>
      </c>
      <c r="D24" s="51"/>
      <c r="E24" s="33">
        <f>E22-E23</f>
        <v>350500</v>
      </c>
      <c r="F24" s="26">
        <f>F22-F23</f>
        <v>350500</v>
      </c>
      <c r="G24" s="24">
        <f t="shared" si="1"/>
        <v>0</v>
      </c>
      <c r="H24" s="27"/>
      <c r="I24" s="27"/>
      <c r="K24" s="74"/>
      <c r="L24" s="50" t="s">
        <v>276</v>
      </c>
      <c r="M24" s="51"/>
      <c r="N24" s="33">
        <f>N22-N23</f>
        <v>350500</v>
      </c>
      <c r="O24" s="26">
        <f>O22-O23</f>
        <v>350500</v>
      </c>
      <c r="P24" s="59">
        <f t="shared" si="2"/>
        <v>0</v>
      </c>
      <c r="Q24" s="27"/>
      <c r="R24" s="27"/>
    </row>
    <row r="25" spans="2:18" x14ac:dyDescent="0.45">
      <c r="B25" s="71"/>
      <c r="C25" s="78" t="s">
        <v>277</v>
      </c>
      <c r="D25" s="45" t="s">
        <v>278</v>
      </c>
      <c r="E25" s="30">
        <v>0</v>
      </c>
      <c r="F25" s="31">
        <f>SUM(計算結果!W21:W22)</f>
        <v>4600</v>
      </c>
      <c r="G25" s="46">
        <f t="shared" si="1"/>
        <v>-4600</v>
      </c>
      <c r="H25" s="27"/>
      <c r="I25" s="27"/>
      <c r="K25" s="74"/>
      <c r="L25" s="80" t="s">
        <v>277</v>
      </c>
      <c r="M25" s="42" t="s">
        <v>278</v>
      </c>
      <c r="N25">
        <v>0</v>
      </c>
      <c r="O25" s="56">
        <f>SUM(計算結果!W21:W22)</f>
        <v>4600</v>
      </c>
      <c r="P25" s="60">
        <f t="shared" si="2"/>
        <v>-4600</v>
      </c>
    </row>
    <row r="26" spans="2:18" x14ac:dyDescent="0.45">
      <c r="B26" s="71"/>
      <c r="C26" s="78"/>
      <c r="D26" s="28" t="s">
        <v>279</v>
      </c>
      <c r="E26" s="30">
        <v>0</v>
      </c>
      <c r="F26" s="31">
        <f>SUM(計算結果!W30:W31)</f>
        <v>36705</v>
      </c>
      <c r="G26" s="46">
        <f t="shared" si="1"/>
        <v>-36705</v>
      </c>
      <c r="H26" s="27"/>
      <c r="I26" s="27"/>
      <c r="K26" s="74"/>
      <c r="L26" s="81"/>
      <c r="M26" s="52" t="s">
        <v>279</v>
      </c>
      <c r="N26">
        <v>0</v>
      </c>
      <c r="O26" s="63">
        <f>SUM(計算結果!W30:W31)</f>
        <v>36705</v>
      </c>
      <c r="P26" s="62">
        <f t="shared" si="2"/>
        <v>-36705</v>
      </c>
    </row>
    <row r="27" spans="2:18" x14ac:dyDescent="0.45">
      <c r="B27" s="72"/>
      <c r="C27" s="79"/>
      <c r="D27" s="47" t="s">
        <v>280</v>
      </c>
      <c r="E27" s="33">
        <v>0</v>
      </c>
      <c r="F27" s="26">
        <f>SUM(F25:F26)</f>
        <v>41305</v>
      </c>
      <c r="G27" s="24">
        <f t="shared" si="1"/>
        <v>-41305</v>
      </c>
      <c r="H27" s="27" t="s">
        <v>281</v>
      </c>
      <c r="I27" s="27"/>
      <c r="K27" s="74"/>
      <c r="L27" s="81"/>
      <c r="M27" s="53" t="s">
        <v>282</v>
      </c>
      <c r="N27">
        <v>0</v>
      </c>
      <c r="O27" s="63">
        <f>SUM(計算結果!W33:W34)</f>
        <v>0</v>
      </c>
      <c r="P27" s="61">
        <f t="shared" si="2"/>
        <v>0</v>
      </c>
    </row>
    <row r="28" spans="2:18" x14ac:dyDescent="0.45">
      <c r="E28" s="27"/>
      <c r="F28" s="27"/>
      <c r="G28" s="27"/>
      <c r="H28" s="27"/>
      <c r="I28" s="27"/>
      <c r="K28" s="75"/>
      <c r="L28" s="82"/>
      <c r="M28" s="47" t="s">
        <v>280</v>
      </c>
      <c r="N28" s="54">
        <v>0</v>
      </c>
      <c r="O28" s="59">
        <f>SUM(O25:O27)</f>
        <v>41305</v>
      </c>
      <c r="P28" s="59">
        <f t="shared" si="2"/>
        <v>-41305</v>
      </c>
      <c r="Q28" t="s">
        <v>281</v>
      </c>
    </row>
    <row r="29" spans="2:18" x14ac:dyDescent="0.45">
      <c r="D29" t="s">
        <v>283</v>
      </c>
      <c r="E29" s="55">
        <f>E13+E22-E27</f>
        <v>596508.5</v>
      </c>
      <c r="F29" s="55">
        <f>F13+F22-F27</f>
        <v>547443.89999999991</v>
      </c>
      <c r="G29" s="26">
        <f>E29-F29</f>
        <v>49064.600000000093</v>
      </c>
      <c r="H29" s="27" t="s">
        <v>284</v>
      </c>
      <c r="I29" s="27"/>
    </row>
    <row r="30" spans="2:18" x14ac:dyDescent="0.45">
      <c r="E30" s="27"/>
      <c r="F30" s="27"/>
      <c r="G30" s="27"/>
      <c r="H30" s="27"/>
      <c r="I30" s="27"/>
      <c r="M30" t="s">
        <v>283</v>
      </c>
      <c r="N30" s="55">
        <f>N13+N22-N28</f>
        <v>596508.5</v>
      </c>
      <c r="O30" s="55">
        <f>O13+O22-O28</f>
        <v>547443.89999999991</v>
      </c>
      <c r="P30" s="26">
        <f>N30-O30</f>
        <v>49064.600000000093</v>
      </c>
      <c r="Q30" s="27" t="s">
        <v>284</v>
      </c>
      <c r="R30" s="27"/>
    </row>
    <row r="31" spans="2:18" x14ac:dyDescent="0.45">
      <c r="E31" s="27"/>
      <c r="F31" s="27"/>
      <c r="G31" s="27"/>
      <c r="H31" s="27"/>
      <c r="I31" s="27"/>
    </row>
  </sheetData>
  <mergeCells count="14">
    <mergeCell ref="B5:B13"/>
    <mergeCell ref="K5:K13"/>
    <mergeCell ref="C8:C9"/>
    <mergeCell ref="L8:L9"/>
    <mergeCell ref="C10:C13"/>
    <mergeCell ref="L10:L13"/>
    <mergeCell ref="B15:B27"/>
    <mergeCell ref="K15:K28"/>
    <mergeCell ref="C17:C18"/>
    <mergeCell ref="L17:L18"/>
    <mergeCell ref="C19:C22"/>
    <mergeCell ref="L19:L22"/>
    <mergeCell ref="C25:C27"/>
    <mergeCell ref="L25:L28"/>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A26"/>
  <sheetViews>
    <sheetView zoomScale="85" zoomScaleNormal="85" workbookViewId="0">
      <selection activeCell="AA5" sqref="AA5"/>
    </sheetView>
  </sheetViews>
  <sheetFormatPr defaultRowHeight="18" x14ac:dyDescent="0.45"/>
  <cols>
    <col min="1" max="1" width="10.3984375" style="2" bestFit="1" customWidth="1"/>
    <col min="2" max="2" width="2.69921875" style="2" bestFit="1" customWidth="1"/>
    <col min="3" max="3" width="10.3984375" style="2" bestFit="1" customWidth="1"/>
    <col min="4" max="4" width="8.69921875" style="2" customWidth="1"/>
    <col min="5" max="5" width="9.3984375" style="2" bestFit="1" customWidth="1"/>
    <col min="11" max="11" width="19.8984375" bestFit="1" customWidth="1"/>
    <col min="17" max="17" width="13" style="3" customWidth="1"/>
    <col min="18" max="18" width="2.69921875" style="9" bestFit="1" customWidth="1"/>
    <col min="19" max="19" width="16.296875" style="3" customWidth="1"/>
    <col min="20" max="20" width="8.296875" style="11" bestFit="1" customWidth="1"/>
    <col min="21" max="22" width="9.296875" bestFit="1" customWidth="1"/>
    <col min="24" max="24" width="10" bestFit="1" customWidth="1"/>
    <col min="25" max="25" width="2.8984375" bestFit="1" customWidth="1"/>
    <col min="26" max="26" width="11" bestFit="1" customWidth="1"/>
  </cols>
  <sheetData>
    <row r="1" spans="1:27" x14ac:dyDescent="0.45">
      <c r="A1" t="s">
        <v>56</v>
      </c>
      <c r="J1" t="s">
        <v>59</v>
      </c>
    </row>
    <row r="2" spans="1:27" x14ac:dyDescent="0.45">
      <c r="A2" s="3" t="s">
        <v>61</v>
      </c>
      <c r="C2" s="3"/>
      <c r="D2" s="4"/>
      <c r="E2" s="3"/>
      <c r="L2" t="s">
        <v>43</v>
      </c>
      <c r="N2" t="s">
        <v>62</v>
      </c>
      <c r="R2" s="10"/>
    </row>
    <row r="3" spans="1:27" x14ac:dyDescent="0.45">
      <c r="A3" s="3">
        <v>0</v>
      </c>
      <c r="B3" t="s">
        <v>63</v>
      </c>
      <c r="C3" s="3">
        <v>1949000</v>
      </c>
      <c r="D3" s="4">
        <v>0.05</v>
      </c>
      <c r="E3" s="3">
        <v>0</v>
      </c>
      <c r="L3" t="s">
        <v>45</v>
      </c>
      <c r="M3" t="s">
        <v>46</v>
      </c>
      <c r="N3" t="s">
        <v>45</v>
      </c>
      <c r="O3" t="s">
        <v>46</v>
      </c>
      <c r="Q3" s="3" t="s">
        <v>64</v>
      </c>
      <c r="R3" s="10"/>
      <c r="T3" s="11" t="s">
        <v>136</v>
      </c>
      <c r="U3" t="s">
        <v>137</v>
      </c>
      <c r="X3" t="s">
        <v>285</v>
      </c>
    </row>
    <row r="4" spans="1:27" x14ac:dyDescent="0.45">
      <c r="A4" s="3">
        <f t="shared" ref="A4:A9" si="0">C3+1000</f>
        <v>1950000</v>
      </c>
      <c r="B4" t="s">
        <v>63</v>
      </c>
      <c r="C4" s="3">
        <v>3299000</v>
      </c>
      <c r="D4" s="4">
        <v>0.1</v>
      </c>
      <c r="E4" s="3">
        <v>97500</v>
      </c>
      <c r="J4" t="s">
        <v>65</v>
      </c>
      <c r="L4" s="1">
        <v>0.08</v>
      </c>
      <c r="M4" s="1">
        <v>0.02</v>
      </c>
      <c r="N4" s="1">
        <v>0.06</v>
      </c>
      <c r="O4" s="1">
        <v>0.04</v>
      </c>
      <c r="Q4" s="3">
        <v>0</v>
      </c>
      <c r="R4" s="10" t="s">
        <v>63</v>
      </c>
      <c r="S4" s="3">
        <v>1950000</v>
      </c>
      <c r="T4" s="4">
        <v>0.05</v>
      </c>
      <c r="U4" s="13">
        <f>T4*1.021</f>
        <v>5.1049999999999998E-2</v>
      </c>
      <c r="V4" s="13">
        <f>100%-10%-U4</f>
        <v>0.84894999999999998</v>
      </c>
      <c r="X4" s="3">
        <v>0</v>
      </c>
      <c r="Y4" s="10" t="s">
        <v>63</v>
      </c>
      <c r="Z4" s="3">
        <v>1950000</v>
      </c>
      <c r="AA4">
        <f>5.105/84.895</f>
        <v>6.0133105601036581E-2</v>
      </c>
    </row>
    <row r="5" spans="1:27" x14ac:dyDescent="0.45">
      <c r="A5" s="3">
        <f t="shared" si="0"/>
        <v>3300000</v>
      </c>
      <c r="B5" t="s">
        <v>63</v>
      </c>
      <c r="C5" s="3">
        <v>6949000</v>
      </c>
      <c r="D5" s="4">
        <v>0.2</v>
      </c>
      <c r="E5" s="3">
        <v>427500</v>
      </c>
      <c r="J5" t="s">
        <v>234</v>
      </c>
      <c r="K5" t="s">
        <v>235</v>
      </c>
      <c r="L5" s="19">
        <v>7.1999999999999995E-2</v>
      </c>
      <c r="M5" s="19">
        <v>1.7999999999999999E-2</v>
      </c>
      <c r="N5" s="19">
        <v>5.3999999999999999E-2</v>
      </c>
      <c r="O5" s="19">
        <v>3.5999999999999997E-2</v>
      </c>
      <c r="Q5" s="3">
        <v>1951000</v>
      </c>
      <c r="R5" s="10" t="s">
        <v>63</v>
      </c>
      <c r="S5" s="3">
        <v>3300000</v>
      </c>
      <c r="T5" s="4">
        <v>0.1</v>
      </c>
      <c r="U5" s="13">
        <f t="shared" ref="U5:U11" si="1">T5*1.021</f>
        <v>0.1021</v>
      </c>
      <c r="V5" s="13">
        <f t="shared" ref="V5:V11" si="2">100%-10%-U5</f>
        <v>0.79790000000000005</v>
      </c>
      <c r="X5" s="3">
        <v>1951000</v>
      </c>
      <c r="Y5" s="10" t="s">
        <v>63</v>
      </c>
      <c r="Z5" s="3">
        <v>3300000</v>
      </c>
      <c r="AA5">
        <f>10.21/79.79</f>
        <v>0.12796089735555835</v>
      </c>
    </row>
    <row r="6" spans="1:27" x14ac:dyDescent="0.45">
      <c r="A6" s="3">
        <f t="shared" si="0"/>
        <v>6950000</v>
      </c>
      <c r="B6" t="s">
        <v>63</v>
      </c>
      <c r="C6" s="3">
        <v>8999000</v>
      </c>
      <c r="D6" s="4">
        <v>0.23</v>
      </c>
      <c r="E6" s="3">
        <v>636000</v>
      </c>
      <c r="K6" t="s">
        <v>236</v>
      </c>
      <c r="L6" s="1">
        <v>0.04</v>
      </c>
      <c r="M6" s="1">
        <v>0.01</v>
      </c>
      <c r="N6" s="1">
        <v>0.03</v>
      </c>
      <c r="O6" s="1">
        <v>0.02</v>
      </c>
      <c r="Q6" s="3">
        <v>3301000</v>
      </c>
      <c r="R6" s="10" t="s">
        <v>63</v>
      </c>
      <c r="S6" s="3">
        <v>6950000</v>
      </c>
      <c r="T6" s="4">
        <v>0.2</v>
      </c>
      <c r="U6" s="13">
        <f t="shared" si="1"/>
        <v>0.20419999999999999</v>
      </c>
      <c r="V6" s="13">
        <f t="shared" si="2"/>
        <v>0.69579999999999997</v>
      </c>
      <c r="X6" s="3">
        <v>3301000</v>
      </c>
      <c r="Y6" s="10" t="s">
        <v>63</v>
      </c>
      <c r="Z6" s="3">
        <v>6950000</v>
      </c>
      <c r="AA6">
        <f>20.42/69/58</f>
        <v>5.1024487756121941E-3</v>
      </c>
    </row>
    <row r="7" spans="1:27" x14ac:dyDescent="0.45">
      <c r="A7" s="3">
        <f t="shared" si="0"/>
        <v>9000000</v>
      </c>
      <c r="B7" t="s">
        <v>63</v>
      </c>
      <c r="C7" s="3">
        <v>17999000</v>
      </c>
      <c r="D7" s="4">
        <v>0.33</v>
      </c>
      <c r="E7" s="3">
        <v>1536000</v>
      </c>
      <c r="J7" t="s">
        <v>237</v>
      </c>
      <c r="K7" t="s">
        <v>235</v>
      </c>
      <c r="L7" s="1">
        <v>0.04</v>
      </c>
      <c r="M7" s="1">
        <v>0.01</v>
      </c>
      <c r="N7" s="1">
        <v>0.03</v>
      </c>
      <c r="O7" s="1">
        <v>0.02</v>
      </c>
      <c r="Q7" s="3">
        <v>6951000</v>
      </c>
      <c r="R7" s="10" t="s">
        <v>63</v>
      </c>
      <c r="S7" s="3">
        <v>9000000</v>
      </c>
      <c r="T7" s="4">
        <v>0.23</v>
      </c>
      <c r="U7" s="13">
        <f t="shared" si="1"/>
        <v>0.23482999999999998</v>
      </c>
      <c r="V7" s="13">
        <f t="shared" si="2"/>
        <v>0.66517000000000004</v>
      </c>
      <c r="X7" s="3">
        <v>6951000</v>
      </c>
      <c r="Y7" s="10" t="s">
        <v>63</v>
      </c>
      <c r="Z7" s="3">
        <v>9000000</v>
      </c>
      <c r="AA7">
        <f>23.483/66.517</f>
        <v>0.35303756934317548</v>
      </c>
    </row>
    <row r="8" spans="1:27" x14ac:dyDescent="0.45">
      <c r="A8" s="3">
        <f t="shared" si="0"/>
        <v>18000000</v>
      </c>
      <c r="B8" t="s">
        <v>63</v>
      </c>
      <c r="C8" s="3">
        <v>39999000</v>
      </c>
      <c r="D8" s="4">
        <v>0.4</v>
      </c>
      <c r="E8" s="3">
        <v>2796000</v>
      </c>
      <c r="K8" t="s">
        <v>244</v>
      </c>
      <c r="L8" s="19">
        <v>3.2000000000000001E-2</v>
      </c>
      <c r="M8" s="19">
        <v>8.0000000000000002E-3</v>
      </c>
      <c r="N8" s="19">
        <v>2.4E-2</v>
      </c>
      <c r="O8" s="19">
        <v>1.6E-2</v>
      </c>
      <c r="Q8" s="3">
        <v>9001000</v>
      </c>
      <c r="R8" s="10" t="s">
        <v>63</v>
      </c>
      <c r="S8" s="3">
        <v>18000000</v>
      </c>
      <c r="T8" s="4">
        <v>0.33</v>
      </c>
      <c r="U8" s="13">
        <f t="shared" si="1"/>
        <v>0.33693000000000001</v>
      </c>
      <c r="V8" s="13">
        <f t="shared" si="2"/>
        <v>0.56306999999999996</v>
      </c>
      <c r="X8" s="3">
        <v>9001000</v>
      </c>
      <c r="Y8" s="10" t="s">
        <v>63</v>
      </c>
      <c r="Z8" s="3"/>
      <c r="AA8">
        <f>33.693/56.307</f>
        <v>0.59838030795460595</v>
      </c>
    </row>
    <row r="9" spans="1:27" x14ac:dyDescent="0.45">
      <c r="A9" s="3">
        <f t="shared" si="0"/>
        <v>40000000</v>
      </c>
      <c r="B9" t="s">
        <v>63</v>
      </c>
      <c r="C9" s="3"/>
      <c r="D9" s="4">
        <v>0.45</v>
      </c>
      <c r="E9" s="3">
        <v>4796000</v>
      </c>
      <c r="K9" t="s">
        <v>245</v>
      </c>
      <c r="L9" s="1">
        <v>0.04</v>
      </c>
      <c r="M9" s="1">
        <v>0.01</v>
      </c>
      <c r="N9" s="1">
        <v>0.03</v>
      </c>
      <c r="O9" s="1">
        <v>0.02</v>
      </c>
      <c r="Q9" s="3">
        <v>18001000</v>
      </c>
      <c r="R9" s="10" t="s">
        <v>63</v>
      </c>
      <c r="S9" s="3">
        <v>40000000</v>
      </c>
      <c r="T9" s="4">
        <v>0.4</v>
      </c>
      <c r="U9" s="13">
        <f t="shared" si="1"/>
        <v>0.40839999999999999</v>
      </c>
      <c r="V9" s="13">
        <f t="shared" si="2"/>
        <v>0.49160000000000004</v>
      </c>
    </row>
    <row r="10" spans="1:27" x14ac:dyDescent="0.45">
      <c r="K10" t="s">
        <v>246</v>
      </c>
      <c r="L10" s="19">
        <v>3.2000000000000001E-2</v>
      </c>
      <c r="M10" s="19">
        <v>8.0000000000000002E-3</v>
      </c>
      <c r="N10" s="19">
        <v>2.4E-2</v>
      </c>
      <c r="O10" s="19">
        <v>1.6E-2</v>
      </c>
      <c r="Q10" s="3">
        <v>40001000</v>
      </c>
      <c r="R10" s="10" t="s">
        <v>63</v>
      </c>
      <c r="T10" s="4">
        <v>0.45</v>
      </c>
      <c r="U10" s="13">
        <f t="shared" si="1"/>
        <v>0.45944999999999997</v>
      </c>
      <c r="V10" s="13">
        <f t="shared" si="2"/>
        <v>0.44055000000000005</v>
      </c>
    </row>
    <row r="11" spans="1:27" x14ac:dyDescent="0.45">
      <c r="K11" t="s">
        <v>247</v>
      </c>
      <c r="L11" s="1">
        <v>0.04</v>
      </c>
      <c r="M11" s="1">
        <v>0.01</v>
      </c>
      <c r="N11" s="1">
        <v>0.03</v>
      </c>
      <c r="O11" s="1">
        <v>0.02</v>
      </c>
      <c r="Q11" t="s">
        <v>139</v>
      </c>
      <c r="T11" s="4">
        <v>0</v>
      </c>
      <c r="U11" s="13">
        <f t="shared" si="1"/>
        <v>0</v>
      </c>
      <c r="V11" s="13">
        <f t="shared" si="2"/>
        <v>0.9</v>
      </c>
    </row>
    <row r="12" spans="1:27" x14ac:dyDescent="0.45">
      <c r="J12" t="s">
        <v>238</v>
      </c>
      <c r="L12" s="1">
        <v>0.04</v>
      </c>
      <c r="M12" s="1">
        <v>0.01</v>
      </c>
      <c r="N12" s="1">
        <v>0.03</v>
      </c>
      <c r="O12" s="1">
        <v>0.02</v>
      </c>
      <c r="Q12" s="3" t="s">
        <v>140</v>
      </c>
      <c r="T12" s="4"/>
    </row>
    <row r="13" spans="1:27" x14ac:dyDescent="0.45">
      <c r="J13" t="s">
        <v>239</v>
      </c>
      <c r="L13" s="1">
        <v>0.04</v>
      </c>
      <c r="M13" s="1">
        <v>0.01</v>
      </c>
      <c r="N13" s="1">
        <v>0.03</v>
      </c>
      <c r="O13" s="1">
        <v>0.02</v>
      </c>
      <c r="Q13" s="3" t="s">
        <v>141</v>
      </c>
      <c r="T13" s="4"/>
    </row>
    <row r="14" spans="1:27" x14ac:dyDescent="0.45">
      <c r="A14" s="3"/>
      <c r="B14" s="3"/>
      <c r="C14" s="3"/>
      <c r="D14" s="3"/>
      <c r="E14" s="3"/>
      <c r="J14" t="s">
        <v>240</v>
      </c>
      <c r="L14" s="1">
        <v>0.04</v>
      </c>
      <c r="M14" s="1">
        <v>0.01</v>
      </c>
      <c r="N14" s="1">
        <v>0.03</v>
      </c>
      <c r="O14" s="1">
        <v>0.02</v>
      </c>
      <c r="S14" t="s">
        <v>143</v>
      </c>
      <c r="T14" s="4">
        <v>0.3</v>
      </c>
      <c r="U14" s="13">
        <f>T14*1.021</f>
        <v>0.30629999999999996</v>
      </c>
      <c r="V14" s="13">
        <f>100%-10%-U14</f>
        <v>0.59370000000000012</v>
      </c>
      <c r="W14" s="17"/>
    </row>
    <row r="15" spans="1:27" x14ac:dyDescent="0.45">
      <c r="A15" s="3"/>
      <c r="B15" s="3"/>
      <c r="C15" s="3"/>
      <c r="D15" s="3"/>
      <c r="E15" s="3"/>
      <c r="J15" t="s">
        <v>241</v>
      </c>
      <c r="L15" s="1">
        <v>0.04</v>
      </c>
      <c r="M15" s="1">
        <v>0.01</v>
      </c>
      <c r="N15" s="1">
        <v>0.03</v>
      </c>
      <c r="O15" s="1">
        <v>0.02</v>
      </c>
      <c r="S15" t="s">
        <v>144</v>
      </c>
      <c r="T15" s="4">
        <v>0.15</v>
      </c>
      <c r="U15" s="13">
        <f>T15*1.021</f>
        <v>0.15314999999999998</v>
      </c>
      <c r="V15" s="13">
        <f>100%-10%-U15</f>
        <v>0.74685000000000001</v>
      </c>
    </row>
    <row r="16" spans="1:27" x14ac:dyDescent="0.45">
      <c r="A16" s="3"/>
      <c r="B16" s="3"/>
      <c r="C16" s="3"/>
      <c r="D16" s="3"/>
      <c r="E16" s="3"/>
      <c r="J16" t="s">
        <v>242</v>
      </c>
      <c r="L16" s="1">
        <v>0.08</v>
      </c>
      <c r="M16" s="1">
        <v>0.02</v>
      </c>
      <c r="N16" s="1">
        <v>0.06</v>
      </c>
      <c r="O16" s="1">
        <v>0.04</v>
      </c>
      <c r="S16" t="s">
        <v>145</v>
      </c>
      <c r="T16" s="4">
        <v>0.15</v>
      </c>
      <c r="U16" s="13">
        <f>T16*1.021</f>
        <v>0.15314999999999998</v>
      </c>
      <c r="V16" s="13">
        <f>100%-10%-U16</f>
        <v>0.74685000000000001</v>
      </c>
    </row>
    <row r="17" spans="10:22" x14ac:dyDescent="0.45">
      <c r="J17" t="s">
        <v>243</v>
      </c>
      <c r="L17" s="1">
        <v>0.08</v>
      </c>
      <c r="M17" s="1">
        <v>0.02</v>
      </c>
      <c r="N17" s="1">
        <v>0.06</v>
      </c>
      <c r="O17" s="1">
        <v>0.04</v>
      </c>
      <c r="S17" t="s">
        <v>146</v>
      </c>
      <c r="T17" s="4">
        <v>0.15</v>
      </c>
      <c r="U17" s="13">
        <f>T17*1.021</f>
        <v>0.15314999999999998</v>
      </c>
      <c r="V17" s="13">
        <f>100%-10%-U17</f>
        <v>0.74685000000000001</v>
      </c>
    </row>
    <row r="18" spans="10:22" x14ac:dyDescent="0.45">
      <c r="J18" t="s">
        <v>66</v>
      </c>
      <c r="L18" s="1">
        <v>0.04</v>
      </c>
      <c r="M18" s="1">
        <v>0.01</v>
      </c>
      <c r="N18" s="1">
        <v>0.03</v>
      </c>
      <c r="O18" s="1">
        <v>0.02</v>
      </c>
      <c r="S18" t="s">
        <v>147</v>
      </c>
      <c r="T18" s="4">
        <v>0.15</v>
      </c>
      <c r="U18" s="13">
        <f>T18*1.021</f>
        <v>0.15314999999999998</v>
      </c>
      <c r="V18" s="13">
        <f>100%-10%-U18</f>
        <v>0.74685000000000001</v>
      </c>
    </row>
    <row r="19" spans="10:22" x14ac:dyDescent="0.45">
      <c r="J19" t="s">
        <v>67</v>
      </c>
      <c r="L19" s="1">
        <v>0.08</v>
      </c>
      <c r="M19" s="1">
        <v>0.02</v>
      </c>
      <c r="N19" s="1">
        <v>0.06</v>
      </c>
      <c r="O19" s="1">
        <v>0.04</v>
      </c>
    </row>
    <row r="20" spans="10:22" x14ac:dyDescent="0.45">
      <c r="J20" t="s">
        <v>233</v>
      </c>
      <c r="L20">
        <v>0.8</v>
      </c>
      <c r="M20">
        <v>0.2</v>
      </c>
      <c r="N20">
        <v>0.6</v>
      </c>
      <c r="O20">
        <v>0.4</v>
      </c>
    </row>
    <row r="24" spans="10:22" x14ac:dyDescent="0.45">
      <c r="Q24" s="3" t="s">
        <v>286</v>
      </c>
    </row>
    <row r="26" spans="10:22" x14ac:dyDescent="0.45">
      <c r="Q26" s="64" cm="1">
        <f t="array" ref="Q26">INDEX(マスター!$AA$4:$AA$8,MATCH(1,(計算結果!$AA$49&gt;=マスター!$X$4:$X$8)*(計算結果!$AA$49&lt;=IF(マスター!$Z$4:$Z$8="",1E+99,マスター!$Z$4:$Z$8)),0))</f>
        <v>0.59838030795460595</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F2A49-70CB-4A95-B90F-FCC79F0A39AD}">
  <sheetPr codeName="Sheet4"/>
  <dimension ref="A1:C22"/>
  <sheetViews>
    <sheetView zoomScale="85" zoomScaleNormal="85" workbookViewId="0">
      <selection activeCell="A19" sqref="A19:B20"/>
    </sheetView>
  </sheetViews>
  <sheetFormatPr defaultRowHeight="18" x14ac:dyDescent="0.45"/>
  <cols>
    <col min="1" max="1" width="57.69921875" style="2" bestFit="1" customWidth="1"/>
    <col min="2" max="2" width="26.796875" style="2" customWidth="1"/>
    <col min="3" max="3" width="48" style="2" customWidth="1"/>
  </cols>
  <sheetData>
    <row r="1" spans="1:3" x14ac:dyDescent="0.45">
      <c r="A1" t="s">
        <v>217</v>
      </c>
      <c r="B1"/>
      <c r="C1"/>
    </row>
    <row r="2" spans="1:3" x14ac:dyDescent="0.45">
      <c r="A2" t="s">
        <v>128</v>
      </c>
      <c r="B2" s="3">
        <f>計算結果!W7</f>
        <v>3530000</v>
      </c>
      <c r="C2"/>
    </row>
    <row r="3" spans="1:3" x14ac:dyDescent="0.45">
      <c r="A3" t="s">
        <v>248</v>
      </c>
      <c r="B3" s="3">
        <f>計算結果!W17+計算結果!W18</f>
        <v>350500</v>
      </c>
      <c r="C3"/>
    </row>
    <row r="4" spans="1:3" x14ac:dyDescent="0.45">
      <c r="A4" t="s">
        <v>218</v>
      </c>
      <c r="B4" s="13" cm="1">
        <f t="array" ref="B4" xml:space="preserve">
_xlfn.LET(
  _xlpm.x, MAX(0, 計算結果!$W$7 - 計算結果!$AB$51),
  _xlpm.lower, VALUE(SUBSTITUTE(マスター!$S$3:$S$9, ",","")),
  _xlpm.factor, マスター!$V$3:$V$9+0,
  _xlfn.XLOOKUP(_xlpm.x, _xlpm.lower, _xlpm.factor, , 1)
)</f>
        <v>0.69579999999999997</v>
      </c>
      <c r="C4"/>
    </row>
    <row r="5" spans="1:3" x14ac:dyDescent="0.45">
      <c r="A5" t="s">
        <v>219</v>
      </c>
      <c r="B5" s="4">
        <v>0.9</v>
      </c>
      <c r="C5"/>
    </row>
    <row r="6" spans="1:3" x14ac:dyDescent="0.45">
      <c r="A6"/>
      <c r="B6"/>
      <c r="C6"/>
    </row>
    <row r="7" spans="1:3" x14ac:dyDescent="0.45">
      <c r="A7" t="s">
        <v>221</v>
      </c>
      <c r="B7"/>
      <c r="C7"/>
    </row>
    <row r="8" spans="1:3" x14ac:dyDescent="0.45">
      <c r="A8" t="s">
        <v>220</v>
      </c>
      <c r="B8" s="3">
        <f xml:space="preserve">
ROUNDDOWN(
  ( (計算結果!$W$17 + 計算結果!$W$18) * 0.2 ) /
  計算結果!AB56
  + 2000,
  0
)</f>
        <v>89855</v>
      </c>
      <c r="C8"/>
    </row>
    <row r="9" spans="1:3" x14ac:dyDescent="0.45">
      <c r="A9" t="s">
        <v>222</v>
      </c>
      <c r="B9" s="16">
        <f xml:space="preserve">
ROUNDDOWN(
  ( (計算結果!$W$17 + 計算結果!$W$18) * 0.2 ) /
  計算結果!AB56
  + 2000,
  0
)</f>
        <v>89855</v>
      </c>
      <c r="C9"/>
    </row>
    <row r="10" spans="1:3" x14ac:dyDescent="0.45">
      <c r="A10"/>
      <c r="B10"/>
      <c r="C10"/>
    </row>
    <row r="11" spans="1:3" x14ac:dyDescent="0.45">
      <c r="A11" t="s">
        <v>223</v>
      </c>
      <c r="B11"/>
      <c r="C11"/>
    </row>
    <row r="12" spans="1:3" x14ac:dyDescent="0.45">
      <c r="A12" t="s">
        <v>224</v>
      </c>
      <c r="B12" s="3">
        <f>ROUND( VALUE(計算結果!$AB$6)*0.4 + 2000, 0 )</f>
        <v>2002000</v>
      </c>
      <c r="C12"/>
    </row>
    <row r="13" spans="1:3" x14ac:dyDescent="0.45">
      <c r="A13" t="s">
        <v>225</v>
      </c>
      <c r="B13" s="3">
        <f>ROUND( VALUE(計算結果!$AB$6)*0.3 + 2000, 0 )</f>
        <v>1502000</v>
      </c>
      <c r="C13"/>
    </row>
    <row r="14" spans="1:3" x14ac:dyDescent="0.45">
      <c r="A14"/>
      <c r="B14"/>
      <c r="C14"/>
    </row>
    <row r="15" spans="1:3" x14ac:dyDescent="0.45">
      <c r="A15" t="s">
        <v>226</v>
      </c>
      <c r="B15"/>
      <c r="C15"/>
    </row>
    <row r="16" spans="1:3" x14ac:dyDescent="0.45">
      <c r="A16" t="s">
        <v>227</v>
      </c>
      <c r="B16" s="3">
        <f>MIN($B$8,$B$12,$B$13)</f>
        <v>89855</v>
      </c>
      <c r="C16"/>
    </row>
    <row r="17" spans="1:3" x14ac:dyDescent="0.45">
      <c r="A17" t="s">
        <v>228</v>
      </c>
      <c r="B17" s="3">
        <f>MIN($B$9,$B$13)</f>
        <v>89855</v>
      </c>
      <c r="C17"/>
    </row>
    <row r="18" spans="1:3" x14ac:dyDescent="0.45">
      <c r="A18"/>
      <c r="B18"/>
      <c r="C18"/>
    </row>
    <row r="19" spans="1:3" x14ac:dyDescent="0.45">
      <c r="B19" s="5"/>
      <c r="C19"/>
    </row>
    <row r="20" spans="1:3" x14ac:dyDescent="0.45">
      <c r="B20" s="5"/>
    </row>
    <row r="22" spans="1:3" x14ac:dyDescent="0.45">
      <c r="A22" t="s">
        <v>127</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3EB98-ED6E-4C80-B7EA-44DB6FB3AF8C}">
  <sheetPr codeName="Sheet5"/>
  <dimension ref="A1:U25"/>
  <sheetViews>
    <sheetView zoomScale="85" zoomScaleNormal="85" workbookViewId="0">
      <selection activeCell="F12" sqref="F12"/>
    </sheetView>
  </sheetViews>
  <sheetFormatPr defaultRowHeight="18" x14ac:dyDescent="0.45"/>
  <cols>
    <col min="15" max="15" width="2.59765625" bestFit="1" customWidth="1"/>
    <col min="16" max="16" width="22.19921875" bestFit="1" customWidth="1"/>
    <col min="21" max="21" width="12.296875" bestFit="1" customWidth="1"/>
  </cols>
  <sheetData>
    <row r="1" spans="1:21" x14ac:dyDescent="0.45">
      <c r="A1" t="s">
        <v>216</v>
      </c>
      <c r="B1" t="s">
        <v>215</v>
      </c>
      <c r="C1" t="s">
        <v>68</v>
      </c>
      <c r="D1" t="s">
        <v>210</v>
      </c>
      <c r="E1" t="s">
        <v>214</v>
      </c>
      <c r="O1" t="s">
        <v>213</v>
      </c>
      <c r="P1" t="s">
        <v>212</v>
      </c>
      <c r="S1" t="s">
        <v>211</v>
      </c>
      <c r="U1" t="s">
        <v>202</v>
      </c>
    </row>
    <row r="2" spans="1:21" x14ac:dyDescent="0.45">
      <c r="C2" t="s">
        <v>83</v>
      </c>
      <c r="D2" t="s">
        <v>210</v>
      </c>
      <c r="E2" t="s">
        <v>209</v>
      </c>
      <c r="P2" t="s">
        <v>208</v>
      </c>
      <c r="Q2">
        <v>0.05</v>
      </c>
      <c r="S2" s="18">
        <f t="shared" ref="S2:S8" si="0">Q2*1.021</f>
        <v>5.1049999999999998E-2</v>
      </c>
      <c r="U2" s="18">
        <f t="shared" ref="U2:U8" si="1">100%-10%-S2</f>
        <v>0.84894999999999998</v>
      </c>
    </row>
    <row r="3" spans="1:21" x14ac:dyDescent="0.45">
      <c r="D3" t="s">
        <v>207</v>
      </c>
      <c r="E3" t="s">
        <v>206</v>
      </c>
      <c r="P3" t="s">
        <v>205</v>
      </c>
      <c r="Q3">
        <v>0.1</v>
      </c>
      <c r="S3" s="18">
        <f t="shared" si="0"/>
        <v>0.1021</v>
      </c>
      <c r="U3" s="18">
        <f t="shared" si="1"/>
        <v>0.79790000000000005</v>
      </c>
    </row>
    <row r="4" spans="1:21" x14ac:dyDescent="0.45">
      <c r="H4" t="s">
        <v>204</v>
      </c>
      <c r="P4" t="s">
        <v>203</v>
      </c>
      <c r="Q4">
        <v>0.2</v>
      </c>
      <c r="S4" s="18">
        <f t="shared" si="0"/>
        <v>0.20419999999999999</v>
      </c>
      <c r="U4" s="18">
        <f t="shared" si="1"/>
        <v>0.69579999999999997</v>
      </c>
    </row>
    <row r="5" spans="1:21" x14ac:dyDescent="0.45">
      <c r="G5" t="s">
        <v>202</v>
      </c>
      <c r="P5" t="s">
        <v>201</v>
      </c>
      <c r="Q5">
        <v>0.23</v>
      </c>
      <c r="S5" s="18">
        <f t="shared" si="0"/>
        <v>0.23482999999999998</v>
      </c>
      <c r="U5" s="18">
        <f t="shared" si="1"/>
        <v>0.66517000000000004</v>
      </c>
    </row>
    <row r="6" spans="1:21" x14ac:dyDescent="0.45">
      <c r="P6" t="s">
        <v>200</v>
      </c>
      <c r="Q6">
        <v>0.33</v>
      </c>
      <c r="S6" s="18">
        <f t="shared" si="0"/>
        <v>0.33693000000000001</v>
      </c>
      <c r="U6" s="18">
        <f t="shared" si="1"/>
        <v>0.56306999999999996</v>
      </c>
    </row>
    <row r="7" spans="1:21" x14ac:dyDescent="0.45">
      <c r="P7" t="s">
        <v>199</v>
      </c>
      <c r="Q7">
        <v>0.4</v>
      </c>
      <c r="S7" s="18">
        <f t="shared" si="0"/>
        <v>0.40839999999999999</v>
      </c>
      <c r="U7" s="18">
        <f t="shared" si="1"/>
        <v>0.49160000000000004</v>
      </c>
    </row>
    <row r="8" spans="1:21" x14ac:dyDescent="0.45">
      <c r="P8" t="s">
        <v>198</v>
      </c>
      <c r="Q8">
        <v>0.45</v>
      </c>
      <c r="S8" s="18">
        <f t="shared" si="0"/>
        <v>0.45944999999999997</v>
      </c>
      <c r="U8" s="18">
        <f t="shared" si="1"/>
        <v>0.44055000000000005</v>
      </c>
    </row>
    <row r="9" spans="1:21" x14ac:dyDescent="0.45">
      <c r="S9" s="18"/>
      <c r="U9" s="18"/>
    </row>
    <row r="10" spans="1:21" x14ac:dyDescent="0.45">
      <c r="O10" t="s">
        <v>197</v>
      </c>
      <c r="P10" t="s">
        <v>138</v>
      </c>
      <c r="S10" s="18"/>
      <c r="U10" s="18"/>
    </row>
    <row r="11" spans="1:21" x14ac:dyDescent="0.45">
      <c r="Q11">
        <v>0</v>
      </c>
      <c r="S11" s="18">
        <f>Q11*1.021</f>
        <v>0</v>
      </c>
      <c r="U11" s="18">
        <f>100%-10%-S11</f>
        <v>0.9</v>
      </c>
    </row>
    <row r="12" spans="1:21" x14ac:dyDescent="0.45">
      <c r="S12" s="18"/>
      <c r="U12" s="18"/>
    </row>
    <row r="13" spans="1:21" x14ac:dyDescent="0.45">
      <c r="O13" t="s">
        <v>196</v>
      </c>
      <c r="P13" t="s">
        <v>195</v>
      </c>
      <c r="S13" s="18"/>
      <c r="U13" s="18"/>
    </row>
    <row r="14" spans="1:21" x14ac:dyDescent="0.45">
      <c r="P14" t="s">
        <v>194</v>
      </c>
      <c r="S14" s="18"/>
      <c r="U14" s="18"/>
    </row>
    <row r="15" spans="1:21" x14ac:dyDescent="0.45">
      <c r="P15" t="s">
        <v>193</v>
      </c>
      <c r="S15" s="18"/>
      <c r="U15" s="18"/>
    </row>
    <row r="16" spans="1:21" x14ac:dyDescent="0.45">
      <c r="P16" t="s">
        <v>192</v>
      </c>
      <c r="S16" s="18"/>
      <c r="U16" s="18"/>
    </row>
    <row r="17" spans="15:21" x14ac:dyDescent="0.45">
      <c r="S17" s="18"/>
      <c r="U17" s="18"/>
    </row>
    <row r="18" spans="15:21" x14ac:dyDescent="0.45">
      <c r="O18" t="s">
        <v>191</v>
      </c>
      <c r="P18" t="s">
        <v>190</v>
      </c>
      <c r="S18" s="18"/>
      <c r="U18" s="18"/>
    </row>
    <row r="19" spans="15:21" x14ac:dyDescent="0.45">
      <c r="P19" t="s">
        <v>142</v>
      </c>
      <c r="Q19">
        <v>0.4</v>
      </c>
      <c r="S19" s="18">
        <f t="shared" ref="S19:S24" si="2">Q19*1.021</f>
        <v>0.40839999999999999</v>
      </c>
      <c r="U19" s="18">
        <f t="shared" ref="U19:U24" si="3">100%-10%-S19</f>
        <v>0.49160000000000004</v>
      </c>
    </row>
    <row r="20" spans="15:21" x14ac:dyDescent="0.45">
      <c r="P20" t="s">
        <v>143</v>
      </c>
      <c r="Q20">
        <v>0.3</v>
      </c>
      <c r="S20" s="18">
        <f t="shared" si="2"/>
        <v>0.30629999999999996</v>
      </c>
      <c r="U20" s="18">
        <f t="shared" si="3"/>
        <v>0.59370000000000012</v>
      </c>
    </row>
    <row r="21" spans="15:21" x14ac:dyDescent="0.45">
      <c r="P21" t="s">
        <v>144</v>
      </c>
      <c r="Q21">
        <v>0.15</v>
      </c>
      <c r="S21" s="18">
        <f t="shared" si="2"/>
        <v>0.15314999999999998</v>
      </c>
      <c r="U21" s="18">
        <f t="shared" si="3"/>
        <v>0.74685000000000001</v>
      </c>
    </row>
    <row r="22" spans="15:21" x14ac:dyDescent="0.45">
      <c r="P22" t="s">
        <v>145</v>
      </c>
      <c r="Q22">
        <v>0.15</v>
      </c>
      <c r="S22" s="18">
        <f t="shared" si="2"/>
        <v>0.15314999999999998</v>
      </c>
      <c r="U22" s="18">
        <f t="shared" si="3"/>
        <v>0.74685000000000001</v>
      </c>
    </row>
    <row r="23" spans="15:21" x14ac:dyDescent="0.45">
      <c r="P23" t="s">
        <v>146</v>
      </c>
      <c r="Q23">
        <v>0.15</v>
      </c>
      <c r="S23" s="18">
        <f t="shared" si="2"/>
        <v>0.15314999999999998</v>
      </c>
      <c r="U23" s="18">
        <f t="shared" si="3"/>
        <v>0.74685000000000001</v>
      </c>
    </row>
    <row r="24" spans="15:21" x14ac:dyDescent="0.45">
      <c r="P24" t="s">
        <v>147</v>
      </c>
      <c r="Q24">
        <v>0.15</v>
      </c>
      <c r="S24" s="18">
        <f t="shared" si="2"/>
        <v>0.15314999999999998</v>
      </c>
      <c r="U24" s="18">
        <f t="shared" si="3"/>
        <v>0.74685000000000001</v>
      </c>
    </row>
    <row r="25" spans="15:21" x14ac:dyDescent="0.45">
      <c r="P25" t="s">
        <v>189</v>
      </c>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インプット表</vt:lpstr>
      <vt:lpstr>計算結果</vt:lpstr>
      <vt:lpstr>簡便版</vt:lpstr>
      <vt:lpstr>マスター</vt:lpstr>
      <vt:lpstr>ふるさと上限</vt:lpstr>
      <vt:lpstr>寄付控除計算概要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将史 鹿谷</dc:creator>
  <cp:lastModifiedBy>将史 鹿谷</cp:lastModifiedBy>
  <dcterms:created xsi:type="dcterms:W3CDTF">2025-09-24T08:40:26Z</dcterms:created>
  <dcterms:modified xsi:type="dcterms:W3CDTF">2025-10-03T02:33:36Z</dcterms:modified>
</cp:coreProperties>
</file>